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MED NLE" sheetId="1" state="visible" r:id="rId3"/>
  </sheets>
  <definedNames>
    <definedName function="false" hidden="true" localSheetId="0" name="_xlnm._FilterDatabase" vbProcedure="false">'MARMED NLE'!$A$1:$Z$3</definedName>
    <definedName function="false" hidden="false" localSheetId="0" name="_Hlk20347401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<sst xmlns="http://schemas.openxmlformats.org/spreadsheetml/2006/main" count="55" uniqueCount="44">
  <si>
    <t xml:space="preserve">VESSEL</t>
  </si>
  <si>
    <t xml:space="preserve">VOYAGE</t>
  </si>
  <si>
    <t xml:space="preserve">ETA NVS</t>
  </si>
  <si>
    <t xml:space="preserve">T/S PORT</t>
  </si>
  <si>
    <t xml:space="preserve">TERMINAL</t>
  </si>
  <si>
    <t xml:space="preserve">BKG №</t>
  </si>
  <si>
    <t xml:space="preserve">BOOKING RELEASE DATE</t>
  </si>
  <si>
    <t xml:space="preserve">TYPE</t>
  </si>
  <si>
    <t xml:space="preserve">VOL/TEU</t>
  </si>
  <si>
    <t xml:space="preserve">WEIGHT</t>
  </si>
  <si>
    <t xml:space="preserve">POD</t>
  </si>
  <si>
    <t xml:space="preserve">CMDTY</t>
  </si>
  <si>
    <t xml:space="preserve">IMO</t>
  </si>
  <si>
    <t xml:space="preserve">UN</t>
  </si>
  <si>
    <t xml:space="preserve">SHIPPER</t>
  </si>
  <si>
    <t xml:space="preserve">BOOKING PARTY</t>
  </si>
  <si>
    <t xml:space="preserve">QTN</t>
  </si>
  <si>
    <t xml:space="preserve">EMPTY PICK UP STATUS</t>
  </si>
  <si>
    <t xml:space="preserve">EXPECTED READINESS</t>
  </si>
  <si>
    <t xml:space="preserve">GATED IN</t>
  </si>
  <si>
    <t xml:space="preserve">PAID STORAGE BEGINS</t>
  </si>
  <si>
    <t xml:space="preserve">COMMENTS</t>
  </si>
  <si>
    <t xml:space="preserve">ROLLED BY</t>
  </si>
  <si>
    <t xml:space="preserve">DEMURRAGE FREE TIME AT DESTINATION</t>
  </si>
  <si>
    <t xml:space="preserve">LIONFISH</t>
  </si>
  <si>
    <t xml:space="preserve">26TRX05</t>
  </si>
  <si>
    <t xml:space="preserve">ALEXANDRIA</t>
  </si>
  <si>
    <t xml:space="preserve">BEIRUT</t>
  </si>
  <si>
    <t xml:space="preserve">MCSRUEX01018</t>
  </si>
  <si>
    <t xml:space="preserve">MCS</t>
  </si>
  <si>
    <t xml:space="preserve">COLD ROLLED GRAIN ORIENTED ELECTRICAL STEEL</t>
  </si>
  <si>
    <t xml:space="preserve">NON-IMO</t>
  </si>
  <si>
    <t xml:space="preserve">STEELENA FZCO</t>
  </si>
  <si>
    <t xml:space="preserve">BIC / MARMED</t>
  </si>
  <si>
    <t xml:space="preserve">MCSPO2718</t>
  </si>
  <si>
    <t xml:space="preserve">RELEASED</t>
  </si>
  <si>
    <t xml:space="preserve">EXPECTED READINESS
01/06/2026</t>
  </si>
  <si>
    <t xml:space="preserve">DIRECT</t>
  </si>
  <si>
    <t xml:space="preserve">MERSIN</t>
  </si>
  <si>
    <t xml:space="preserve">MCSRUEX01041</t>
  </si>
  <si>
    <t xml:space="preserve">polyethilene</t>
  </si>
  <si>
    <t xml:space="preserve">SIBUR International Trading (Shanghai) Co., Ltd</t>
  </si>
  <si>
    <t xml:space="preserve">NLMPO2553 </t>
  </si>
  <si>
    <t xml:space="preserve">SPLIT MCSRUEX01024: 38*40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</si>
</sst>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0"/>
      <name val="Calibri"/>
      <family val="2"/>
      <charset val="204"/>
    </font>
    <font>
      <b val="true"/>
      <sz val="10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A4C2F4"/>
      </patternFill>
    </fill>
    <fill>
      <patternFill patternType="solid">
        <fgColor rgb="FFA4C2F4"/>
        <bgColor rgb="FF9BC2E6"/>
      </patternFill>
    </fill>
    <fill>
      <patternFill patternType="solid">
        <fgColor theme="7" tint="0.799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106" xfId="20"/>
    <cellStyle name="Обычный 2" xfId="21"/>
    <cellStyle name="Обычный 3" xfId="22"/>
    <cellStyle name="Обычный 4" xfId="23"/>
  </cellStyles>
  <dxfs count="10">
    <dxf>
      <fill>
        <patternFill patternType="solid">
          <fgColor rgb="FF9BC2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4C2F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9BC2E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F15" activeCellId="0" sqref="F15"/>
    </sheetView>
  </sheetViews>
  <sheetFormatPr defaultColWidth="8.71484375" defaultRowHeight="9.7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.29"/>
    <col collapsed="false" customWidth="true" hidden="false" outlineLevel="0" max="4" min="3" style="1" width="12.15"/>
    <col collapsed="false" customWidth="true" hidden="false" outlineLevel="0" max="5" min="5" style="1" width="13.42"/>
    <col collapsed="false" customWidth="true" hidden="false" outlineLevel="0" max="6" min="6" style="1" width="17.15"/>
    <col collapsed="false" customWidth="true" hidden="false" outlineLevel="0" max="7" min="7" style="1" width="10.85"/>
    <col collapsed="false" customWidth="true" hidden="false" outlineLevel="0" max="8" min="8" style="1" width="11.14"/>
    <col collapsed="false" customWidth="true" hidden="false" outlineLevel="0" max="9" min="9" style="1" width="10.42"/>
    <col collapsed="false" customWidth="true" hidden="false" outlineLevel="0" max="10" min="10" style="1" width="15.58"/>
    <col collapsed="false" customWidth="true" hidden="false" outlineLevel="0" max="11" min="11" style="1" width="15.85"/>
    <col collapsed="false" customWidth="true" hidden="false" outlineLevel="0" max="12" min="12" style="1" width="8"/>
    <col collapsed="false" customWidth="true" hidden="false" outlineLevel="0" max="13" min="13" style="1" width="14.29"/>
    <col collapsed="false" customWidth="true" hidden="false" outlineLevel="0" max="14" min="14" style="1" width="39.85"/>
    <col collapsed="false" customWidth="true" hidden="false" outlineLevel="0" max="15" min="15" style="1" width="13.86"/>
    <col collapsed="false" customWidth="true" hidden="false" outlineLevel="0" max="16" min="16" style="1" width="9.86"/>
    <col collapsed="false" customWidth="true" hidden="false" outlineLevel="0" max="17" min="17" style="2" width="34.71"/>
    <col collapsed="false" customWidth="true" hidden="false" outlineLevel="0" max="18" min="18" style="1" width="27.86"/>
    <col collapsed="false" customWidth="true" hidden="false" outlineLevel="0" max="19" min="19" style="1" width="14.71"/>
    <col collapsed="false" customWidth="true" hidden="false" outlineLevel="0" max="20" min="20" style="1" width="12.71"/>
    <col collapsed="false" customWidth="true" hidden="false" outlineLevel="0" max="21" min="21" style="3" width="24.14"/>
    <col collapsed="false" customWidth="true" hidden="false" outlineLevel="0" max="22" min="22" style="4" width="15.14"/>
    <col collapsed="false" customWidth="true" hidden="false" outlineLevel="0" max="23" min="23" style="5" width="11.29"/>
    <col collapsed="false" customWidth="true" hidden="false" outlineLevel="0" max="24" min="24" style="2" width="31.57"/>
    <col collapsed="false" customWidth="true" hidden="false" outlineLevel="0" max="25" min="25" style="1" width="31.57"/>
    <col collapsed="false" customWidth="true" hidden="false" outlineLevel="0" max="26" min="26" style="1" width="17.71"/>
    <col collapsed="false" customWidth="false" hidden="false" outlineLevel="0" max="16384" min="27" style="1" width="8.71"/>
  </cols>
  <sheetData>
    <row r="1" customFormat="false" ht="41.2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n">
        <v>40</v>
      </c>
      <c r="I1" s="6" t="n">
        <v>20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7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8" t="s">
        <v>23</v>
      </c>
    </row>
    <row r="2" s="9" customFormat="true" ht="34.5" hidden="false" customHeight="true" outlineLevel="0" collapsed="false">
      <c r="A2" s="9" t="s">
        <v>24</v>
      </c>
      <c r="B2" s="9" t="s">
        <v>25</v>
      </c>
      <c r="C2" s="10" t="n">
        <v>46179</v>
      </c>
      <c r="D2" s="9" t="s">
        <v>26</v>
      </c>
      <c r="E2" s="9" t="s">
        <v>27</v>
      </c>
      <c r="F2" s="9" t="s">
        <v>28</v>
      </c>
      <c r="G2" s="10" t="n">
        <v>46140</v>
      </c>
      <c r="I2" s="9" t="n">
        <v>5</v>
      </c>
      <c r="J2" s="9" t="s">
        <v>29</v>
      </c>
      <c r="K2" s="9" t="n">
        <f aca="false">I2</f>
        <v>5</v>
      </c>
      <c r="L2" s="9" t="n">
        <f aca="false">I2*25</f>
        <v>125</v>
      </c>
      <c r="M2" s="9" t="s">
        <v>27</v>
      </c>
      <c r="N2" s="9" t="s">
        <v>30</v>
      </c>
      <c r="O2" s="9" t="s">
        <v>31</v>
      </c>
      <c r="P2" s="9" t="s">
        <v>31</v>
      </c>
      <c r="Q2" s="11" t="s">
        <v>32</v>
      </c>
      <c r="R2" s="9" t="s">
        <v>33</v>
      </c>
      <c r="S2" s="9" t="s">
        <v>34</v>
      </c>
      <c r="T2" s="12" t="s">
        <v>35</v>
      </c>
      <c r="U2" s="13" t="s">
        <v>36</v>
      </c>
      <c r="V2" s="14"/>
      <c r="W2" s="15"/>
      <c r="X2" s="11"/>
      <c r="Z2" s="9" t="n">
        <v>14</v>
      </c>
    </row>
    <row r="3" s="9" customFormat="true" ht="35.25" hidden="false" customHeight="true" outlineLevel="0" collapsed="false">
      <c r="A3" s="9" t="s">
        <v>24</v>
      </c>
      <c r="B3" s="9" t="s">
        <v>25</v>
      </c>
      <c r="C3" s="10" t="n">
        <v>46179</v>
      </c>
      <c r="D3" s="9" t="s">
        <v>37</v>
      </c>
      <c r="E3" s="9" t="s">
        <v>38</v>
      </c>
      <c r="F3" s="9" t="s">
        <v>39</v>
      </c>
      <c r="G3" s="10" t="n">
        <v>46147</v>
      </c>
      <c r="H3" s="9" t="n">
        <v>55</v>
      </c>
      <c r="J3" s="9" t="s">
        <v>29</v>
      </c>
      <c r="K3" s="9" t="n">
        <f aca="false">H3*2</f>
        <v>110</v>
      </c>
      <c r="L3" s="9" t="n">
        <f aca="false">H3*26</f>
        <v>1430</v>
      </c>
      <c r="M3" s="9" t="s">
        <v>38</v>
      </c>
      <c r="N3" s="9" t="s">
        <v>40</v>
      </c>
      <c r="O3" s="9" t="s">
        <v>31</v>
      </c>
      <c r="P3" s="9" t="s">
        <v>31</v>
      </c>
      <c r="Q3" s="11" t="s">
        <v>41</v>
      </c>
      <c r="R3" s="9" t="s">
        <v>33</v>
      </c>
      <c r="S3" s="9" t="s">
        <v>42</v>
      </c>
      <c r="T3" s="12" t="s">
        <v>35</v>
      </c>
      <c r="U3" s="13" t="s">
        <v>36</v>
      </c>
      <c r="V3" s="14"/>
      <c r="W3" s="15"/>
      <c r="X3" s="15" t="s">
        <v>43</v>
      </c>
      <c r="Z3" s="9" t="n">
        <v>14</v>
      </c>
    </row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Z3"/>
  <conditionalFormatting sqref="F4:F1048576 F1">
    <cfRule type="duplicateValues" priority="2" aboveAverage="0" equalAverage="0" bottom="0" percent="0" rank="0" text="" dxfId="6"/>
    <cfRule type="duplicateValues" priority="3" aboveAverage="0" equalAverage="0" bottom="0" percent="0" rank="0" text="" dxfId="7"/>
    <cfRule type="duplicateValues" priority="4" aboveAverage="0" equalAverage="0" bottom="0" percent="0" rank="0" text="" dxfId="8"/>
  </conditionalFormatting>
  <conditionalFormatting sqref="F2:F178">
    <cfRule type="duplicateValues" priority="5" aboveAverage="0" equalAverage="0" bottom="0" percent="0" rank="0" text="" dxfId="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en-US</dc:language>
  <cp:lastModifiedBy/>
  <dcterms:modified xsi:type="dcterms:W3CDTF">2026-06-01T21:28:23Z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