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MED NLE" sheetId="1" state="visible" r:id="rId3"/>
  </sheets>
  <definedNames>
    <definedName function="false" hidden="true" localSheetId="0" name="_xlnm._FilterDatabase" vbProcedure="false">'MARMED NLE'!$A$1:$Z$50</definedName>
    <definedName function="false" hidden="false" localSheetId="0" name="_Hlk20347401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<sst xmlns="http://schemas.openxmlformats.org/spreadsheetml/2006/main" count="743" uniqueCount="227">
  <si>
    <t xml:space="preserve">VESSEL</t>
  </si>
  <si>
    <t xml:space="preserve">VOYAGE</t>
  </si>
  <si>
    <t xml:space="preserve">ETA NVS</t>
  </si>
  <si>
    <t xml:space="preserve">T/S PORT</t>
  </si>
  <si>
    <t xml:space="preserve">TERMINAL</t>
  </si>
  <si>
    <t xml:space="preserve">BKG №</t>
  </si>
  <si>
    <t xml:space="preserve">BOOKING RELEASE DATE</t>
  </si>
  <si>
    <t xml:space="preserve">TYPE</t>
  </si>
  <si>
    <t xml:space="preserve">VOL/TEU</t>
  </si>
  <si>
    <t xml:space="preserve">WEIGHT</t>
  </si>
  <si>
    <t xml:space="preserve">POD</t>
  </si>
  <si>
    <t xml:space="preserve">CMDTY</t>
  </si>
  <si>
    <t xml:space="preserve">IMO</t>
  </si>
  <si>
    <t xml:space="preserve">UN</t>
  </si>
  <si>
    <t xml:space="preserve">SHIPPER</t>
  </si>
  <si>
    <t xml:space="preserve">BOOKING PARTY</t>
  </si>
  <si>
    <t xml:space="preserve">QTN</t>
  </si>
  <si>
    <t xml:space="preserve">EMPTY PICK UP STATUS</t>
  </si>
  <si>
    <t xml:space="preserve">EXPECTED READINESS</t>
  </si>
  <si>
    <t xml:space="preserve">GATED IN</t>
  </si>
  <si>
    <t xml:space="preserve">PAID STORAGE BEGINS</t>
  </si>
  <si>
    <t xml:space="preserve">COMMENTS</t>
  </si>
  <si>
    <t xml:space="preserve">ROLLED BY</t>
  </si>
  <si>
    <t xml:space="preserve">DEMURRAGE FREE TIME AT DESTINATION</t>
  </si>
  <si>
    <t xml:space="preserve">LIONFISH</t>
  </si>
  <si>
    <t xml:space="preserve">26TRX05</t>
  </si>
  <si>
    <t xml:space="preserve">ALEXANDRIA</t>
  </si>
  <si>
    <t xml:space="preserve">BEIRUT</t>
  </si>
  <si>
    <t xml:space="preserve">MCSRUEX01018</t>
  </si>
  <si>
    <t xml:space="preserve">MCS</t>
  </si>
  <si>
    <t xml:space="preserve">COLD ROLLED GRAIN ORIENTED ELECTRICAL STEEL</t>
  </si>
  <si>
    <t xml:space="preserve">NON-IMO</t>
  </si>
  <si>
    <t xml:space="preserve">STEELENA FZCO</t>
  </si>
  <si>
    <t xml:space="preserve">BIC / MARMED</t>
  </si>
  <si>
    <t xml:space="preserve">MCSPO2718</t>
  </si>
  <si>
    <t xml:space="preserve">RELEASED</t>
  </si>
  <si>
    <t xml:space="preserve">EXPECTED READINESS
01/06/2026</t>
  </si>
  <si>
    <t xml:space="preserve">DIRECT</t>
  </si>
  <si>
    <t xml:space="preserve">MERSIN</t>
  </si>
  <si>
    <t xml:space="preserve">MCSRUEX01041</t>
  </si>
  <si>
    <t xml:space="preserve">polyethilene</t>
  </si>
  <si>
    <t xml:space="preserve">SIBUR International Trading (Shanghai) Co., Ltd</t>
  </si>
  <si>
    <t xml:space="preserve">NLMPO2553 </t>
  </si>
  <si>
    <t xml:space="preserve">SPLIT MCSRUEX01024: 38*40</t>
  </si>
  <si>
    <t xml:space="preserve">GEBZE</t>
  </si>
  <si>
    <t xml:space="preserve">MCSRUEX01024</t>
  </si>
  <si>
    <t xml:space="preserve">NLMPO2552</t>
  </si>
  <si>
    <t xml:space="preserve">MCSRUEX01017</t>
  </si>
  <si>
    <t xml:space="preserve">ROLLED FM LF2604</t>
  </si>
  <si>
    <t xml:space="preserve">LATAKIA</t>
  </si>
  <si>
    <t xml:space="preserve">MCSRUEX01059</t>
  </si>
  <si>
    <t xml:space="preserve">Green Line Timber / 440711</t>
  </si>
  <si>
    <t xml:space="preserve">GREEN LINE TIMBER" LLC</t>
  </si>
  <si>
    <t xml:space="preserve">NLMPO2628</t>
  </si>
  <si>
    <t xml:space="preserve">TRANSFER FM SF2609 - NLMRUEX00322</t>
  </si>
  <si>
    <t xml:space="preserve">MCSRUEX01029</t>
  </si>
  <si>
    <t xml:space="preserve">Waelz oxide calcined</t>
  </si>
  <si>
    <t xml:space="preserve">PRIMA LLC</t>
  </si>
  <si>
    <t xml:space="preserve">BSF LLC / MARMED</t>
  </si>
  <si>
    <t xml:space="preserve">MCSPO2703</t>
  </si>
  <si>
    <t xml:space="preserve">EXPECTED READINESS 28-29/05</t>
  </si>
  <si>
    <t xml:space="preserve">MCSRUEX01046</t>
  </si>
  <si>
    <t xml:space="preserve">POLYETHYLENE/3901109000</t>
  </si>
  <si>
    <t xml:space="preserve">SIBUR Holding PJSC.</t>
  </si>
  <si>
    <t xml:space="preserve">Ruscon LLC / MARMED</t>
  </si>
  <si>
    <t xml:space="preserve">MCSPO2546</t>
  </si>
  <si>
    <t xml:space="preserve">NOT RELEASED</t>
  </si>
  <si>
    <t xml:space="preserve">EXPECTED READINESS 30-31/05</t>
  </si>
  <si>
    <t xml:space="preserve">MCSRUEX01031</t>
  </si>
  <si>
    <t xml:space="preserve">Birch Plywood HS 4412330000</t>
  </si>
  <si>
    <t xml:space="preserve">CHEREPOVETS PLYWOOD&amp;FURNITURE MILL</t>
  </si>
  <si>
    <t xml:space="preserve">SeaMax JSC / MARMED</t>
  </si>
  <si>
    <t xml:space="preserve">MCSPO2592</t>
  </si>
  <si>
    <t xml:space="preserve">MCSRUEX01049</t>
  </si>
  <si>
    <t xml:space="preserve">Plywood, 4412330000</t>
  </si>
  <si>
    <t xml:space="preserve">OOO "Sveza-Les"</t>
  </si>
  <si>
    <t xml:space="preserve">SOYUZKHIMTRANS INT / MARMED</t>
  </si>
  <si>
    <t xml:space="preserve">MCSPO2639</t>
  </si>
  <si>
    <t xml:space="preserve">TRANSFER FM SF2609 - NLMRUEX00260</t>
  </si>
  <si>
    <t xml:space="preserve">MCSRUEX01053</t>
  </si>
  <si>
    <t xml:space="preserve">SYKTYVKAR PLYWOOD MILL LTD</t>
  </si>
  <si>
    <t xml:space="preserve">Transit LLC / MARMED</t>
  </si>
  <si>
    <t xml:space="preserve">MCSPO2591</t>
  </si>
  <si>
    <t xml:space="preserve">18*40 ATA NOVO, 8*40 ON WAY 169 KM
EXPECTED READ 29/05</t>
  </si>
  <si>
    <t xml:space="preserve">MCSRUEX01054</t>
  </si>
  <si>
    <t xml:space="preserve">MOTOR OIL </t>
  </si>
  <si>
    <t xml:space="preserve">ASHORIA LLC</t>
  </si>
  <si>
    <t xml:space="preserve">ASHORIA LLC / MARMED</t>
  </si>
  <si>
    <t xml:space="preserve">MCSPO2742 </t>
  </si>
  <si>
    <t xml:space="preserve">MCSRUEX01055</t>
  </si>
  <si>
    <t xml:space="preserve">Polyethylene/Polypropylene. 3901209009/3902100000</t>
  </si>
  <si>
    <t xml:space="preserve">PJSC SIBUR Holding</t>
  </si>
  <si>
    <t xml:space="preserve">Universal Forwarder LLC / MARMED</t>
  </si>
  <si>
    <t xml:space="preserve">MCSPO2693</t>
  </si>
  <si>
    <t xml:space="preserve">ALEXANDRIA OLD PORT</t>
  </si>
  <si>
    <t xml:space="preserve">MCSRUEX01056</t>
  </si>
  <si>
    <t xml:space="preserve">Pentaerythritol technical HS 2905420000</t>
  </si>
  <si>
    <t xml:space="preserve">Bonex-FZCO</t>
  </si>
  <si>
    <t xml:space="preserve">MCSPO2686</t>
  </si>
  <si>
    <t xml:space="preserve">MCSRUEX01051</t>
  </si>
  <si>
    <t xml:space="preserve">Neonol AF 9-9 / HS code – 340242 Class – 9  UN 3082 (IMO)</t>
  </si>
  <si>
    <t xml:space="preserve">9</t>
  </si>
  <si>
    <t xml:space="preserve">3082</t>
  </si>
  <si>
    <t xml:space="preserve">SAKA KIMYA SANAYI VE TICARET LIMITED SIRKETI / MARMED</t>
  </si>
  <si>
    <t xml:space="preserve">MCSPO2733</t>
  </si>
  <si>
    <t xml:space="preserve">EXPECTED READINESS 29-30/05</t>
  </si>
  <si>
    <t xml:space="preserve">MCSRUEX01061</t>
  </si>
  <si>
    <t xml:space="preserve">Sodium bicarbonate / 283630</t>
  </si>
  <si>
    <t xml:space="preserve">NOT</t>
  </si>
  <si>
    <t xml:space="preserve">LATONA SERVICES LIMITED</t>
  </si>
  <si>
    <t xml:space="preserve">TRADING CHEM / NILE MED</t>
  </si>
  <si>
    <t xml:space="preserve">NLMPO2600</t>
  </si>
  <si>
    <t xml:space="preserve">TRANSFER FM TBA - NLMRUEX00236</t>
  </si>
  <si>
    <t xml:space="preserve">MCSRUEX01062</t>
  </si>
  <si>
    <t xml:space="preserve">TRANSFER FM TBA - NLMRUEX00237</t>
  </si>
  <si>
    <t xml:space="preserve">MCSRUEX01063</t>
  </si>
  <si>
    <t xml:space="preserve">MCSRUEX01064</t>
  </si>
  <si>
    <t xml:space="preserve">MCSRUEX01065</t>
  </si>
  <si>
    <t xml:space="preserve"> Polyproplene</t>
  </si>
  <si>
    <t xml:space="preserve">RUSCON LTD</t>
  </si>
  <si>
    <t xml:space="preserve">RUSCON LTD / MARMED</t>
  </si>
  <si>
    <t xml:space="preserve">MAR-NLE3845</t>
  </si>
  <si>
    <t xml:space="preserve">READY OUT OF PORT</t>
  </si>
  <si>
    <t xml:space="preserve">MCSRUEX01058</t>
  </si>
  <si>
    <t xml:space="preserve">SAWN TIMBER EDGED PINE
4407129201</t>
  </si>
  <si>
    <t xml:space="preserve">LLC RED OCTOBER</t>
  </si>
  <si>
    <t xml:space="preserve">LLC Keystone Logistics / MARMED</t>
  </si>
  <si>
    <t xml:space="preserve">MCSPO2765</t>
  </si>
  <si>
    <t xml:space="preserve">MCSRUEX01068</t>
  </si>
  <si>
    <t xml:space="preserve">Copper slag </t>
  </si>
  <si>
    <t xml:space="preserve">GEDEMIN METALS FZE</t>
  </si>
  <si>
    <t xml:space="preserve">Business-Trading Ltd / MARMED</t>
  </si>
  <si>
    <t xml:space="preserve">MCSPO2786 </t>
  </si>
  <si>
    <t xml:space="preserve">SUBJECT TO SPACE</t>
  </si>
  <si>
    <t xml:space="preserve">MCSRUEX01069</t>
  </si>
  <si>
    <t xml:space="preserve">MCSRUEX01070</t>
  </si>
  <si>
    <t xml:space="preserve">MCSPO2788 </t>
  </si>
  <si>
    <t xml:space="preserve">MCSRUEX01072</t>
  </si>
  <si>
    <t xml:space="preserve">MCSRUEX01073</t>
  </si>
  <si>
    <t xml:space="preserve">Gearboxes, Electrical Hoist Equipment, Drum Assembly with Gearbox</t>
  </si>
  <si>
    <t xml:space="preserve">Trans Techno Market” FZE</t>
  </si>
  <si>
    <t xml:space="preserve">LAM GLOBAL TASIMACILIK COZUMLERI AS. / MARMED</t>
  </si>
  <si>
    <t xml:space="preserve">MCSPO2757</t>
  </si>
  <si>
    <t xml:space="preserve">MCSRUEX01086</t>
  </si>
  <si>
    <t xml:space="preserve">Pentaerythritol technical HS 2905420000 / NON-IMO</t>
  </si>
  <si>
    <t xml:space="preserve">GPC INTERNATIONAL FZ-LLC</t>
  </si>
  <si>
    <t xml:space="preserve">AWAITING</t>
  </si>
  <si>
    <t xml:space="preserve">MCSRUEX01080</t>
  </si>
  <si>
    <t xml:space="preserve">Sodium bicarbonate HS CODE 283630</t>
  </si>
  <si>
    <t xml:space="preserve">Lyn for International Trade (Off Shore) SAL</t>
  </si>
  <si>
    <t xml:space="preserve">Al mare logistics / MARMED</t>
  </si>
  <si>
    <t xml:space="preserve">MCSPO2656</t>
  </si>
  <si>
    <t xml:space="preserve">TRANSFER FM SF2609 - NLMRUEX00279 / NLMPO2656</t>
  </si>
  <si>
    <t xml:space="preserve">FDLRUS2500086</t>
  </si>
  <si>
    <t xml:space="preserve">Wooden I-beam for formwork H20</t>
  </si>
  <si>
    <t xml:space="preserve">OOO BISNESGARANT</t>
  </si>
  <si>
    <t xml:space="preserve">R-EXPEDICIA / SEA CONT</t>
  </si>
  <si>
    <t xml:space="preserve">NLMPO2760</t>
  </si>
  <si>
    <t xml:space="preserve">MCSRUEX01067</t>
  </si>
  <si>
    <r>
      <rPr>
        <sz val="10"/>
        <color theme="1"/>
        <rFont val="Calibri"/>
        <family val="2"/>
        <charset val="204"/>
      </rPr>
      <t xml:space="preserve">Base oil, HS code 271019 / </t>
    </r>
    <r>
      <rPr>
        <sz val="10"/>
        <color rgb="FFFF0000"/>
        <rFont val="Calibri"/>
        <family val="2"/>
        <charset val="204"/>
      </rPr>
      <t xml:space="preserve">FLEXI</t>
    </r>
  </si>
  <si>
    <t xml:space="preserve">BELOIL JSC</t>
  </si>
  <si>
    <t xml:space="preserve">CERTA / SEA CONT</t>
  </si>
  <si>
    <t xml:space="preserve">MCSPO2775</t>
  </si>
  <si>
    <t xml:space="preserve">TOTAL</t>
  </si>
  <si>
    <t xml:space="preserve">600 – 650 TEUS/10000 TONS (230*40 / 60-70*20 max)</t>
  </si>
  <si>
    <t xml:space="preserve">26TRX06</t>
  </si>
  <si>
    <t xml:space="preserve">MCSRUEX01076</t>
  </si>
  <si>
    <t xml:space="preserve">COLD ROLLED GRAIN ORIENTED ELECTRICAL STEEL / 722511</t>
  </si>
  <si>
    <t xml:space="preserve">STEELENA FZCO </t>
  </si>
  <si>
    <t xml:space="preserve">Waiting information from customer on cargo readiness</t>
  </si>
  <si>
    <t xml:space="preserve">MCSRUEX01048</t>
  </si>
  <si>
    <t xml:space="preserve">MCSPO2750</t>
  </si>
  <si>
    <t xml:space="preserve">MCSRUEX01050</t>
  </si>
  <si>
    <t xml:space="preserve">Base oil, HS code 271019 / FLEXI</t>
  </si>
  <si>
    <t xml:space="preserve">CJSC "Invest"</t>
  </si>
  <si>
    <t xml:space="preserve">ACF Optimum LLC / MARMED</t>
  </si>
  <si>
    <t xml:space="preserve">MCSPO2635</t>
  </si>
  <si>
    <t xml:space="preserve">MCSRUEX01047</t>
  </si>
  <si>
    <t xml:space="preserve">TRANSFER FM TBA - NLMRUEX00281</t>
  </si>
  <si>
    <t xml:space="preserve">MCSRUEX01066</t>
  </si>
  <si>
    <t xml:space="preserve">POLYETHYLENE/3901400009</t>
  </si>
  <si>
    <t xml:space="preserve">SIBUR  INTERNATIONAL GMBН</t>
  </si>
  <si>
    <t xml:space="preserve">MCSPO2768</t>
  </si>
  <si>
    <t xml:space="preserve">MCSRUEX01074</t>
  </si>
  <si>
    <t xml:space="preserve">Polypropylene</t>
  </si>
  <si>
    <t xml:space="preserve">PJSC SIBUR HOLDING</t>
  </si>
  <si>
    <t xml:space="preserve">LC SP-Logistics / MARMED</t>
  </si>
  <si>
    <t xml:space="preserve">MCSPO2793</t>
  </si>
  <si>
    <t xml:space="preserve">MCSRUEX01071</t>
  </si>
  <si>
    <t xml:space="preserve">ISKENDERUN</t>
  </si>
  <si>
    <t xml:space="preserve">MCSRUEX01077</t>
  </si>
  <si>
    <t xml:space="preserve">POLYPROPYLENE/3902100000</t>
  </si>
  <si>
    <t xml:space="preserve">MCSPO2796</t>
  </si>
  <si>
    <t xml:space="preserve">MCSRUEX01078</t>
  </si>
  <si>
    <t xml:space="preserve">MCSRUEX01079</t>
  </si>
  <si>
    <r>
      <rPr>
        <sz val="10"/>
        <color theme="1"/>
        <rFont val="Calibri"/>
        <family val="2"/>
        <charset val="204"/>
      </rPr>
      <t xml:space="preserve">BASE OIL IN </t>
    </r>
    <r>
      <rPr>
        <sz val="10"/>
        <color rgb="FFFF0000"/>
        <rFont val="Calibri"/>
        <family val="2"/>
        <charset val="204"/>
      </rPr>
      <t xml:space="preserve">FLEXITANK</t>
    </r>
  </si>
  <si>
    <t xml:space="preserve">"Blago-Don" LLC</t>
  </si>
  <si>
    <t xml:space="preserve">EVROPAC-YUG / MARMED</t>
  </si>
  <si>
    <t xml:space="preserve">MCSPO2803</t>
  </si>
  <si>
    <t xml:space="preserve">MCSRUEX01081</t>
  </si>
  <si>
    <t xml:space="preserve">Tyres</t>
  </si>
  <si>
    <t xml:space="preserve">“Кama Trading House” LLC</t>
  </si>
  <si>
    <t xml:space="preserve">TEK Poseidon LTD / MARMED</t>
  </si>
  <si>
    <t xml:space="preserve">MCSPO2802</t>
  </si>
  <si>
    <t xml:space="preserve">MCSRUEX01082</t>
  </si>
  <si>
    <r>
      <rPr>
        <sz val="10"/>
        <color rgb="FF000000"/>
        <rFont val="Calibri"/>
        <family val="2"/>
        <charset val="204"/>
      </rPr>
      <t xml:space="preserve">MOTOR OIL / </t>
    </r>
    <r>
      <rPr>
        <b val="true"/>
        <sz val="10"/>
        <color rgb="FFED0000"/>
        <rFont val="Calibri"/>
        <family val="2"/>
        <charset val="204"/>
      </rPr>
      <t xml:space="preserve">FLEXI</t>
    </r>
  </si>
  <si>
    <t xml:space="preserve">MCSPO2590</t>
  </si>
  <si>
    <t xml:space="preserve">TRANSFER FM SF2609 - NLMRUEX00223 / NLMPO2590</t>
  </si>
  <si>
    <t xml:space="preserve">POL FREE DAYS - 35</t>
  </si>
  <si>
    <t xml:space="preserve">MCSRUEX01083</t>
  </si>
  <si>
    <t xml:space="preserve">TRANSFER FM SF2609 - NLMRUEX00222 / NLMPO2590</t>
  </si>
  <si>
    <t xml:space="preserve">MCSRUEX01084</t>
  </si>
  <si>
    <t xml:space="preserve">SODIUM BICARBONATE</t>
  </si>
  <si>
    <t xml:space="preserve">MCSPO2624</t>
  </si>
  <si>
    <t xml:space="preserve">MCSRUEX01085</t>
  </si>
  <si>
    <t xml:space="preserve">MCSPO2806</t>
  </si>
  <si>
    <t xml:space="preserve">NLK-11279</t>
  </si>
  <si>
    <t xml:space="preserve">COLD ROLLED GRAIN ORIENTED ELECTRICAL STEEL IN COILS / HS CODE: 7225110000</t>
  </si>
  <si>
    <t xml:space="preserve">NLC GROUP / SEA CONT</t>
  </si>
  <si>
    <t xml:space="preserve">MCSPO2732</t>
  </si>
  <si>
    <t xml:space="preserve">STONEFISH</t>
  </si>
  <si>
    <t xml:space="preserve">NLMRUEX00258</t>
  </si>
  <si>
    <r>
      <rPr>
        <sz val="10"/>
        <rFont val="Calibri"/>
        <family val="2"/>
        <charset val="204"/>
      </rPr>
      <t xml:space="preserve">Base oil, HS code 271019 / </t>
    </r>
    <r>
      <rPr>
        <b val="true"/>
        <sz val="10"/>
        <color rgb="FFFF0000"/>
        <rFont val="Calibri"/>
        <family val="2"/>
        <charset val="204"/>
      </rPr>
      <t xml:space="preserve">FLEXI</t>
    </r>
  </si>
  <si>
    <t xml:space="preserve">NLMPO2635</t>
  </si>
  <si>
    <t xml:space="preserve">NLMRUEX00282</t>
  </si>
  <si>
    <r>
      <rPr>
        <sz val="10"/>
        <rFont val="Calibri"/>
        <family val="2"/>
        <charset val="204"/>
      </rPr>
      <t xml:space="preserve">Base oil, HS code 271019 </t>
    </r>
    <r>
      <rPr>
        <b val="true"/>
        <sz val="10"/>
        <color rgb="FFFF0000"/>
        <rFont val="Calibri"/>
        <family val="2"/>
        <charset val="204"/>
      </rPr>
      <t xml:space="preserve">/ FLEXI</t>
    </r>
  </si>
  <si>
    <t xml:space="preserve">ACF Optimum LLC / NILE MED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</si>
</sst>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@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Calibri"/>
      <family val="2"/>
      <charset val="204"/>
    </font>
    <font>
      <sz val="10"/>
      <color rgb="FF0D0D0D"/>
      <name val="Century"/>
      <family val="1"/>
      <charset val="204"/>
    </font>
    <font>
      <sz val="10"/>
      <color rgb="FF011C29"/>
      <name val="Calibri"/>
      <family val="2"/>
      <charset val="204"/>
    </font>
    <font>
      <sz val="10"/>
      <color rgb="FF000000"/>
      <name val="Calibri"/>
      <family val="2"/>
      <charset val="204"/>
    </font>
    <font>
      <b val="true"/>
      <sz val="10"/>
      <color rgb="FFED0000"/>
      <name val="Calibri"/>
      <family val="2"/>
      <charset val="204"/>
    </font>
    <font>
      <b val="true"/>
      <sz val="10"/>
      <color rgb="FF6600FF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BC2E6"/>
        <bgColor rgb="FFA4C2F4"/>
      </patternFill>
    </fill>
    <fill>
      <patternFill patternType="solid">
        <fgColor rgb="FFA4C2F4"/>
        <bgColor rgb="FF9BC2E6"/>
      </patternFill>
    </fill>
    <fill>
      <patternFill patternType="solid">
        <fgColor theme="7" tint="0.7999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06" xfId="20"/>
    <cellStyle name="Обычный 2" xfId="21"/>
    <cellStyle name="Обычный 3" xfId="22"/>
    <cellStyle name="Обычный 4" xfId="23"/>
  </cellStyles>
  <dxfs count="87">
    <dxf>
      <fill>
        <patternFill patternType="solid">
          <fgColor rgb="FF9BC2E6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11C29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6600FF"/>
      <rgbColor rgb="FF008080"/>
      <rgbColor rgb="FF9BC2E6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ED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C29"/>
      <rgbColor rgb="FF0D0D0D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9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K6" activeCellId="0" sqref="K6"/>
    </sheetView>
  </sheetViews>
  <sheetFormatPr defaultColWidth="8.71484375" defaultRowHeight="9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.29"/>
    <col collapsed="false" customWidth="true" hidden="false" outlineLevel="0" max="4" min="3" style="1" width="12.15"/>
    <col collapsed="false" customWidth="true" hidden="false" outlineLevel="0" max="5" min="5" style="1" width="13.42"/>
    <col collapsed="false" customWidth="true" hidden="false" outlineLevel="0" max="6" min="6" style="1" width="17.15"/>
    <col collapsed="false" customWidth="true" hidden="false" outlineLevel="0" max="7" min="7" style="1" width="10.85"/>
    <col collapsed="false" customWidth="true" hidden="false" outlineLevel="0" max="8" min="8" style="1" width="11.14"/>
    <col collapsed="false" customWidth="true" hidden="false" outlineLevel="0" max="9" min="9" style="1" width="10.42"/>
    <col collapsed="false" customWidth="true" hidden="false" outlineLevel="0" max="10" min="10" style="1" width="9.29"/>
    <col collapsed="false" customWidth="true" hidden="false" outlineLevel="0" max="12" min="11" style="1" width="8"/>
    <col collapsed="false" customWidth="true" hidden="false" outlineLevel="0" max="13" min="13" style="1" width="14.29"/>
    <col collapsed="false" customWidth="true" hidden="false" outlineLevel="0" max="14" min="14" style="1" width="39.85"/>
    <col collapsed="false" customWidth="true" hidden="false" outlineLevel="0" max="15" min="15" style="1" width="13.86"/>
    <col collapsed="false" customWidth="true" hidden="false" outlineLevel="0" max="16" min="16" style="1" width="9.86"/>
    <col collapsed="false" customWidth="true" hidden="false" outlineLevel="0" max="17" min="17" style="2" width="34.71"/>
    <col collapsed="false" customWidth="true" hidden="false" outlineLevel="0" max="18" min="18" style="1" width="27.86"/>
    <col collapsed="false" customWidth="true" hidden="false" outlineLevel="0" max="19" min="19" style="1" width="14.71"/>
    <col collapsed="false" customWidth="true" hidden="false" outlineLevel="0" max="20" min="20" style="1" width="12.71"/>
    <col collapsed="false" customWidth="true" hidden="false" outlineLevel="0" max="21" min="21" style="3" width="24.14"/>
    <col collapsed="false" customWidth="true" hidden="false" outlineLevel="0" max="22" min="22" style="4" width="15.14"/>
    <col collapsed="false" customWidth="true" hidden="false" outlineLevel="0" max="23" min="23" style="5" width="11.29"/>
    <col collapsed="false" customWidth="true" hidden="false" outlineLevel="0" max="24" min="24" style="2" width="31.57"/>
    <col collapsed="false" customWidth="true" hidden="false" outlineLevel="0" max="25" min="25" style="1" width="31.57"/>
    <col collapsed="false" customWidth="true" hidden="false" outlineLevel="0" max="26" min="26" style="1" width="17.71"/>
    <col collapsed="false" customWidth="false" hidden="false" outlineLevel="0" max="16384" min="27" style="1" width="8.71"/>
  </cols>
  <sheetData>
    <row r="1" customFormat="false" ht="41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n">
        <v>40</v>
      </c>
      <c r="I1" s="6" t="n">
        <v>20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8" t="s">
        <v>23</v>
      </c>
    </row>
    <row r="2" s="9" customFormat="true" ht="34.5" hidden="false" customHeight="true" outlineLevel="0" collapsed="false">
      <c r="A2" s="9" t="s">
        <v>24</v>
      </c>
      <c r="B2" s="9" t="s">
        <v>25</v>
      </c>
      <c r="C2" s="10" t="n">
        <v>46179</v>
      </c>
      <c r="D2" s="9" t="s">
        <v>26</v>
      </c>
      <c r="E2" s="9" t="s">
        <v>27</v>
      </c>
      <c r="F2" s="9" t="s">
        <v>28</v>
      </c>
      <c r="G2" s="10" t="n">
        <v>46140</v>
      </c>
      <c r="I2" s="9" t="n">
        <v>5</v>
      </c>
      <c r="J2" s="9" t="s">
        <v>29</v>
      </c>
      <c r="K2" s="9" t="n">
        <f aca="false">I2</f>
        <v>5</v>
      </c>
      <c r="L2" s="9" t="n">
        <f aca="false">I2*25</f>
        <v>125</v>
      </c>
      <c r="M2" s="9" t="s">
        <v>27</v>
      </c>
      <c r="N2" s="9" t="s">
        <v>30</v>
      </c>
      <c r="O2" s="9" t="s">
        <v>31</v>
      </c>
      <c r="P2" s="9" t="s">
        <v>31</v>
      </c>
      <c r="Q2" s="11" t="s">
        <v>32</v>
      </c>
      <c r="R2" s="9" t="s">
        <v>33</v>
      </c>
      <c r="S2" s="9" t="s">
        <v>34</v>
      </c>
      <c r="T2" s="12" t="s">
        <v>35</v>
      </c>
      <c r="U2" s="13" t="s">
        <v>36</v>
      </c>
      <c r="V2" s="14"/>
      <c r="W2" s="15"/>
      <c r="X2" s="11"/>
      <c r="Z2" s="9" t="n">
        <v>14</v>
      </c>
    </row>
    <row r="3" s="9" customFormat="true" ht="35.25" hidden="false" customHeight="true" outlineLevel="0" collapsed="false">
      <c r="A3" s="9" t="s">
        <v>24</v>
      </c>
      <c r="B3" s="9" t="s">
        <v>25</v>
      </c>
      <c r="C3" s="10" t="n">
        <v>46179</v>
      </c>
      <c r="D3" s="9" t="s">
        <v>37</v>
      </c>
      <c r="E3" s="9" t="s">
        <v>38</v>
      </c>
      <c r="F3" s="9" t="s">
        <v>39</v>
      </c>
      <c r="G3" s="10" t="n">
        <v>46147</v>
      </c>
      <c r="H3" s="9" t="n">
        <v>55</v>
      </c>
      <c r="J3" s="9" t="s">
        <v>29</v>
      </c>
      <c r="K3" s="9" t="n">
        <f aca="false">H3*2</f>
        <v>110</v>
      </c>
      <c r="L3" s="9" t="n">
        <f aca="false">H3*26</f>
        <v>1430</v>
      </c>
      <c r="M3" s="9" t="s">
        <v>38</v>
      </c>
      <c r="N3" s="9" t="s">
        <v>40</v>
      </c>
      <c r="O3" s="9" t="s">
        <v>31</v>
      </c>
      <c r="P3" s="9" t="s">
        <v>31</v>
      </c>
      <c r="Q3" s="11" t="s">
        <v>41</v>
      </c>
      <c r="R3" s="9" t="s">
        <v>33</v>
      </c>
      <c r="S3" s="9" t="s">
        <v>42</v>
      </c>
      <c r="T3" s="12" t="s">
        <v>35</v>
      </c>
      <c r="U3" s="13" t="s">
        <v>36</v>
      </c>
      <c r="V3" s="14"/>
      <c r="W3" s="15"/>
      <c r="X3" s="15" t="s">
        <v>43</v>
      </c>
      <c r="Z3" s="9" t="n">
        <v>14</v>
      </c>
    </row>
    <row r="4" s="9" customFormat="true" ht="35.25" hidden="false" customHeight="true" outlineLevel="0" collapsed="false">
      <c r="A4" s="9" t="s">
        <v>24</v>
      </c>
      <c r="B4" s="9" t="s">
        <v>25</v>
      </c>
      <c r="C4" s="10" t="n">
        <v>46179</v>
      </c>
      <c r="D4" s="9" t="s">
        <v>37</v>
      </c>
      <c r="E4" s="9" t="s">
        <v>44</v>
      </c>
      <c r="F4" s="9" t="s">
        <v>45</v>
      </c>
      <c r="G4" s="10" t="n">
        <v>46141</v>
      </c>
      <c r="H4" s="9" t="n">
        <v>21</v>
      </c>
      <c r="J4" s="9" t="s">
        <v>29</v>
      </c>
      <c r="K4" s="9" t="n">
        <f aca="false">H4*2</f>
        <v>42</v>
      </c>
      <c r="L4" s="9" t="n">
        <f aca="false">H4*26</f>
        <v>546</v>
      </c>
      <c r="M4" s="9" t="s">
        <v>44</v>
      </c>
      <c r="N4" s="9" t="s">
        <v>40</v>
      </c>
      <c r="O4" s="9" t="s">
        <v>31</v>
      </c>
      <c r="P4" s="9" t="s">
        <v>31</v>
      </c>
      <c r="Q4" s="11" t="s">
        <v>41</v>
      </c>
      <c r="R4" s="9" t="s">
        <v>33</v>
      </c>
      <c r="S4" s="9" t="s">
        <v>46</v>
      </c>
      <c r="T4" s="12" t="s">
        <v>35</v>
      </c>
      <c r="U4" s="13" t="s">
        <v>36</v>
      </c>
      <c r="V4" s="14"/>
      <c r="W4" s="15"/>
      <c r="X4" s="11"/>
      <c r="Z4" s="9" t="n">
        <v>14</v>
      </c>
    </row>
    <row r="5" s="9" customFormat="true" ht="35.25" hidden="false" customHeight="true" outlineLevel="0" collapsed="false">
      <c r="A5" s="9" t="s">
        <v>24</v>
      </c>
      <c r="B5" s="9" t="s">
        <v>25</v>
      </c>
      <c r="C5" s="10" t="n">
        <v>46179</v>
      </c>
      <c r="D5" s="9" t="s">
        <v>26</v>
      </c>
      <c r="E5" s="9" t="s">
        <v>27</v>
      </c>
      <c r="F5" s="9" t="s">
        <v>47</v>
      </c>
      <c r="G5" s="10" t="n">
        <v>46140</v>
      </c>
      <c r="I5" s="9" t="n">
        <v>7</v>
      </c>
      <c r="J5" s="9" t="s">
        <v>29</v>
      </c>
      <c r="K5" s="9" t="n">
        <f aca="false">I5</f>
        <v>7</v>
      </c>
      <c r="L5" s="9" t="n">
        <f aca="false">I5*22</f>
        <v>154</v>
      </c>
      <c r="M5" s="9" t="s">
        <v>27</v>
      </c>
      <c r="N5" s="9" t="s">
        <v>30</v>
      </c>
      <c r="O5" s="9" t="s">
        <v>31</v>
      </c>
      <c r="P5" s="9" t="s">
        <v>31</v>
      </c>
      <c r="Q5" s="11" t="s">
        <v>32</v>
      </c>
      <c r="R5" s="9" t="s">
        <v>33</v>
      </c>
      <c r="S5" s="9" t="s">
        <v>34</v>
      </c>
      <c r="T5" s="12" t="s">
        <v>35</v>
      </c>
      <c r="U5" s="13" t="s">
        <v>36</v>
      </c>
      <c r="V5" s="14"/>
      <c r="W5" s="15"/>
      <c r="X5" s="11"/>
      <c r="Y5" s="9" t="s">
        <v>48</v>
      </c>
      <c r="Z5" s="9" t="n">
        <v>14</v>
      </c>
    </row>
    <row r="6" customFormat="false" ht="35.25" hidden="false" customHeight="true" outlineLevel="0" collapsed="false">
      <c r="A6" s="9" t="s">
        <v>24</v>
      </c>
      <c r="B6" s="9" t="s">
        <v>25</v>
      </c>
      <c r="C6" s="10" t="n">
        <v>46179</v>
      </c>
      <c r="D6" s="9" t="s">
        <v>26</v>
      </c>
      <c r="E6" s="16" t="s">
        <v>49</v>
      </c>
      <c r="F6" s="9" t="s">
        <v>50</v>
      </c>
      <c r="G6" s="10" t="n">
        <v>46156</v>
      </c>
      <c r="H6" s="9" t="n">
        <v>3</v>
      </c>
      <c r="I6" s="9"/>
      <c r="J6" s="9" t="s">
        <v>29</v>
      </c>
      <c r="K6" s="9" t="n">
        <f aca="false">H6*2</f>
        <v>6</v>
      </c>
      <c r="L6" s="9" t="n">
        <f aca="false">H6*28</f>
        <v>84</v>
      </c>
      <c r="M6" s="16" t="s">
        <v>49</v>
      </c>
      <c r="N6" s="9" t="s">
        <v>51</v>
      </c>
      <c r="O6" s="9" t="s">
        <v>31</v>
      </c>
      <c r="P6" s="9" t="s">
        <v>31</v>
      </c>
      <c r="Q6" s="11" t="s">
        <v>52</v>
      </c>
      <c r="R6" s="9" t="s">
        <v>33</v>
      </c>
      <c r="S6" s="9" t="s">
        <v>53</v>
      </c>
      <c r="T6" s="12" t="s">
        <v>35</v>
      </c>
      <c r="U6" s="13" t="s">
        <v>36</v>
      </c>
      <c r="V6" s="14"/>
      <c r="W6" s="15"/>
      <c r="X6" s="14" t="s">
        <v>54</v>
      </c>
      <c r="Y6" s="9"/>
      <c r="Z6" s="9" t="n">
        <v>14</v>
      </c>
    </row>
    <row r="7" customFormat="false" ht="35.25" hidden="false" customHeight="true" outlineLevel="0" collapsed="false">
      <c r="A7" s="9" t="s">
        <v>24</v>
      </c>
      <c r="B7" s="9" t="s">
        <v>25</v>
      </c>
      <c r="C7" s="10" t="n">
        <v>46179</v>
      </c>
      <c r="D7" s="9" t="s">
        <v>37</v>
      </c>
      <c r="E7" s="9" t="s">
        <v>38</v>
      </c>
      <c r="F7" s="9" t="s">
        <v>55</v>
      </c>
      <c r="G7" s="10" t="n">
        <v>46142</v>
      </c>
      <c r="H7" s="9"/>
      <c r="I7" s="9" t="n">
        <v>10</v>
      </c>
      <c r="J7" s="9" t="s">
        <v>29</v>
      </c>
      <c r="K7" s="9" t="n">
        <f aca="false">I7</f>
        <v>10</v>
      </c>
      <c r="L7" s="9" t="n">
        <f aca="false">I7*22</f>
        <v>220</v>
      </c>
      <c r="M7" s="9" t="s">
        <v>38</v>
      </c>
      <c r="N7" s="9" t="s">
        <v>56</v>
      </c>
      <c r="O7" s="9" t="s">
        <v>31</v>
      </c>
      <c r="P7" s="9" t="s">
        <v>31</v>
      </c>
      <c r="Q7" s="11" t="s">
        <v>57</v>
      </c>
      <c r="R7" s="9" t="s">
        <v>58</v>
      </c>
      <c r="S7" s="9" t="s">
        <v>59</v>
      </c>
      <c r="T7" s="12" t="s">
        <v>35</v>
      </c>
      <c r="U7" s="13" t="s">
        <v>60</v>
      </c>
      <c r="V7" s="13"/>
      <c r="W7" s="15"/>
      <c r="X7" s="13"/>
      <c r="Y7" s="9"/>
      <c r="Z7" s="9" t="n">
        <v>14</v>
      </c>
    </row>
    <row r="8" customFormat="false" ht="35.25" hidden="false" customHeight="true" outlineLevel="0" collapsed="false">
      <c r="A8" s="9" t="s">
        <v>24</v>
      </c>
      <c r="B8" s="9" t="s">
        <v>25</v>
      </c>
      <c r="C8" s="10" t="n">
        <v>46179</v>
      </c>
      <c r="D8" s="9" t="s">
        <v>37</v>
      </c>
      <c r="E8" s="9" t="s">
        <v>38</v>
      </c>
      <c r="F8" s="9" t="s">
        <v>61</v>
      </c>
      <c r="G8" s="17" t="n">
        <v>46148</v>
      </c>
      <c r="H8" s="9" t="n">
        <v>53</v>
      </c>
      <c r="I8" s="9"/>
      <c r="J8" s="9" t="s">
        <v>29</v>
      </c>
      <c r="K8" s="9" t="n">
        <f aca="false">H8*2</f>
        <v>106</v>
      </c>
      <c r="L8" s="9" t="n">
        <f aca="false">H8*25</f>
        <v>1325</v>
      </c>
      <c r="M8" s="9" t="s">
        <v>38</v>
      </c>
      <c r="N8" s="9" t="s">
        <v>62</v>
      </c>
      <c r="O8" s="9" t="s">
        <v>31</v>
      </c>
      <c r="P8" s="9" t="s">
        <v>31</v>
      </c>
      <c r="Q8" s="11" t="s">
        <v>63</v>
      </c>
      <c r="R8" s="16" t="s">
        <v>64</v>
      </c>
      <c r="S8" s="9" t="s">
        <v>65</v>
      </c>
      <c r="T8" s="9" t="s">
        <v>66</v>
      </c>
      <c r="U8" s="13" t="s">
        <v>67</v>
      </c>
      <c r="V8" s="13"/>
      <c r="W8" s="15"/>
      <c r="X8" s="13"/>
      <c r="Y8" s="9"/>
      <c r="Z8" s="9" t="n">
        <v>14</v>
      </c>
    </row>
    <row r="9" customFormat="false" ht="35.25" hidden="false" customHeight="true" outlineLevel="0" collapsed="false">
      <c r="A9" s="9" t="s">
        <v>24</v>
      </c>
      <c r="B9" s="9" t="s">
        <v>25</v>
      </c>
      <c r="C9" s="10" t="n">
        <v>46179</v>
      </c>
      <c r="D9" s="9" t="s">
        <v>26</v>
      </c>
      <c r="E9" s="9" t="s">
        <v>27</v>
      </c>
      <c r="F9" s="9" t="s">
        <v>68</v>
      </c>
      <c r="G9" s="10" t="n">
        <v>46142</v>
      </c>
      <c r="H9" s="9" t="n">
        <v>2</v>
      </c>
      <c r="I9" s="9"/>
      <c r="J9" s="9" t="s">
        <v>29</v>
      </c>
      <c r="K9" s="9" t="n">
        <f aca="false">H9*2</f>
        <v>4</v>
      </c>
      <c r="L9" s="9" t="n">
        <f aca="false">H9*25</f>
        <v>50</v>
      </c>
      <c r="M9" s="9" t="s">
        <v>27</v>
      </c>
      <c r="N9" s="9" t="s">
        <v>69</v>
      </c>
      <c r="O9" s="9" t="s">
        <v>31</v>
      </c>
      <c r="P9" s="9" t="s">
        <v>31</v>
      </c>
      <c r="Q9" s="11" t="s">
        <v>70</v>
      </c>
      <c r="R9" s="9" t="s">
        <v>71</v>
      </c>
      <c r="S9" s="9" t="s">
        <v>72</v>
      </c>
      <c r="T9" s="12" t="s">
        <v>35</v>
      </c>
      <c r="U9" s="13" t="s">
        <v>60</v>
      </c>
      <c r="V9" s="13"/>
      <c r="W9" s="15"/>
      <c r="X9" s="13"/>
      <c r="Y9" s="9"/>
      <c r="Z9" s="9" t="n">
        <v>14</v>
      </c>
    </row>
    <row r="10" customFormat="false" ht="35.25" hidden="false" customHeight="true" outlineLevel="0" collapsed="false">
      <c r="A10" s="9" t="s">
        <v>24</v>
      </c>
      <c r="B10" s="9" t="s">
        <v>25</v>
      </c>
      <c r="C10" s="10" t="n">
        <v>46179</v>
      </c>
      <c r="D10" s="9" t="s">
        <v>26</v>
      </c>
      <c r="E10" s="9" t="s">
        <v>27</v>
      </c>
      <c r="F10" s="9" t="s">
        <v>73</v>
      </c>
      <c r="G10" s="17" t="n">
        <v>46149</v>
      </c>
      <c r="H10" s="9" t="n">
        <v>4</v>
      </c>
      <c r="I10" s="9"/>
      <c r="J10" s="9" t="s">
        <v>29</v>
      </c>
      <c r="K10" s="9" t="n">
        <f aca="false">H10*2</f>
        <v>8</v>
      </c>
      <c r="L10" s="9" t="n">
        <f aca="false">H10*28</f>
        <v>112</v>
      </c>
      <c r="M10" s="9" t="s">
        <v>27</v>
      </c>
      <c r="N10" s="9" t="s">
        <v>74</v>
      </c>
      <c r="O10" s="9" t="s">
        <v>31</v>
      </c>
      <c r="P10" s="9" t="s">
        <v>31</v>
      </c>
      <c r="Q10" s="11" t="s">
        <v>75</v>
      </c>
      <c r="R10" s="9" t="s">
        <v>76</v>
      </c>
      <c r="S10" s="9" t="s">
        <v>77</v>
      </c>
      <c r="T10" s="12" t="s">
        <v>35</v>
      </c>
      <c r="U10" s="13" t="s">
        <v>36</v>
      </c>
      <c r="V10" s="13"/>
      <c r="W10" s="15"/>
      <c r="X10" s="14" t="s">
        <v>78</v>
      </c>
      <c r="Y10" s="9"/>
      <c r="Z10" s="9" t="n">
        <v>14</v>
      </c>
    </row>
    <row r="11" customFormat="false" ht="35.25" hidden="false" customHeight="true" outlineLevel="0" collapsed="false">
      <c r="A11" s="9" t="s">
        <v>24</v>
      </c>
      <c r="B11" s="9" t="s">
        <v>25</v>
      </c>
      <c r="C11" s="10" t="n">
        <v>46179</v>
      </c>
      <c r="D11" s="9" t="s">
        <v>26</v>
      </c>
      <c r="E11" s="9" t="s">
        <v>27</v>
      </c>
      <c r="F11" s="9" t="s">
        <v>79</v>
      </c>
      <c r="G11" s="17" t="n">
        <v>46155</v>
      </c>
      <c r="H11" s="9" t="n">
        <v>28</v>
      </c>
      <c r="I11" s="9"/>
      <c r="J11" s="9" t="s">
        <v>29</v>
      </c>
      <c r="K11" s="9" t="n">
        <f aca="false">H11*2</f>
        <v>56</v>
      </c>
      <c r="L11" s="9" t="n">
        <f aca="false">H11*27</f>
        <v>756</v>
      </c>
      <c r="M11" s="9" t="s">
        <v>27</v>
      </c>
      <c r="N11" s="11" t="s">
        <v>74</v>
      </c>
      <c r="O11" s="9" t="s">
        <v>31</v>
      </c>
      <c r="P11" s="9" t="s">
        <v>31</v>
      </c>
      <c r="Q11" s="16" t="s">
        <v>80</v>
      </c>
      <c r="R11" s="11" t="s">
        <v>81</v>
      </c>
      <c r="S11" s="9" t="s">
        <v>82</v>
      </c>
      <c r="T11" s="12" t="s">
        <v>35</v>
      </c>
      <c r="U11" s="13" t="s">
        <v>83</v>
      </c>
      <c r="V11" s="14"/>
      <c r="W11" s="15"/>
      <c r="X11" s="13"/>
      <c r="Y11" s="9"/>
      <c r="Z11" s="9" t="n">
        <v>14</v>
      </c>
    </row>
    <row r="12" customFormat="false" ht="35.25" hidden="false" customHeight="true" outlineLevel="0" collapsed="false">
      <c r="A12" s="9" t="s">
        <v>24</v>
      </c>
      <c r="B12" s="9" t="s">
        <v>25</v>
      </c>
      <c r="C12" s="10" t="n">
        <v>46179</v>
      </c>
      <c r="D12" s="9" t="s">
        <v>37</v>
      </c>
      <c r="E12" s="9" t="s">
        <v>38</v>
      </c>
      <c r="F12" s="9" t="s">
        <v>84</v>
      </c>
      <c r="G12" s="17" t="n">
        <v>46155</v>
      </c>
      <c r="H12" s="9" t="n">
        <v>2</v>
      </c>
      <c r="I12" s="9"/>
      <c r="J12" s="9" t="s">
        <v>29</v>
      </c>
      <c r="K12" s="9" t="n">
        <f aca="false">H12*2</f>
        <v>4</v>
      </c>
      <c r="L12" s="9" t="n">
        <f aca="false">H12*25</f>
        <v>50</v>
      </c>
      <c r="M12" s="9" t="s">
        <v>38</v>
      </c>
      <c r="N12" s="11" t="s">
        <v>85</v>
      </c>
      <c r="O12" s="9" t="s">
        <v>31</v>
      </c>
      <c r="P12" s="9" t="s">
        <v>31</v>
      </c>
      <c r="Q12" s="16" t="s">
        <v>86</v>
      </c>
      <c r="R12" s="11" t="s">
        <v>87</v>
      </c>
      <c r="S12" s="9" t="s">
        <v>88</v>
      </c>
      <c r="T12" s="9" t="s">
        <v>66</v>
      </c>
      <c r="U12" s="13" t="s">
        <v>36</v>
      </c>
      <c r="V12" s="14"/>
      <c r="W12" s="15"/>
      <c r="X12" s="11"/>
      <c r="Y12" s="9"/>
      <c r="Z12" s="9" t="n">
        <v>14</v>
      </c>
    </row>
    <row r="13" customFormat="false" ht="35.25" hidden="false" customHeight="true" outlineLevel="0" collapsed="false">
      <c r="A13" s="9" t="s">
        <v>24</v>
      </c>
      <c r="B13" s="9" t="s">
        <v>25</v>
      </c>
      <c r="C13" s="10" t="n">
        <v>46179</v>
      </c>
      <c r="D13" s="9" t="s">
        <v>37</v>
      </c>
      <c r="E13" s="9" t="s">
        <v>38</v>
      </c>
      <c r="F13" s="9" t="s">
        <v>89</v>
      </c>
      <c r="G13" s="17" t="n">
        <v>46155</v>
      </c>
      <c r="H13" s="9" t="n">
        <v>44</v>
      </c>
      <c r="I13" s="9"/>
      <c r="J13" s="9" t="s">
        <v>29</v>
      </c>
      <c r="K13" s="9" t="n">
        <f aca="false">H13*2</f>
        <v>88</v>
      </c>
      <c r="L13" s="9" t="n">
        <f aca="false">H13*25</f>
        <v>1100</v>
      </c>
      <c r="M13" s="9" t="s">
        <v>38</v>
      </c>
      <c r="N13" s="11" t="s">
        <v>90</v>
      </c>
      <c r="O13" s="9" t="s">
        <v>31</v>
      </c>
      <c r="P13" s="9" t="s">
        <v>31</v>
      </c>
      <c r="Q13" s="16" t="s">
        <v>91</v>
      </c>
      <c r="R13" s="11" t="s">
        <v>92</v>
      </c>
      <c r="S13" s="9" t="s">
        <v>93</v>
      </c>
      <c r="T13" s="12" t="s">
        <v>35</v>
      </c>
      <c r="U13" s="13" t="s">
        <v>67</v>
      </c>
      <c r="V13" s="14"/>
      <c r="W13" s="15"/>
      <c r="X13" s="13"/>
      <c r="Y13" s="9"/>
      <c r="Z13" s="9" t="n">
        <v>14</v>
      </c>
    </row>
    <row r="14" customFormat="false" ht="35.25" hidden="false" customHeight="true" outlineLevel="0" collapsed="false">
      <c r="A14" s="9" t="s">
        <v>24</v>
      </c>
      <c r="B14" s="9" t="s">
        <v>25</v>
      </c>
      <c r="C14" s="10" t="n">
        <v>46179</v>
      </c>
      <c r="D14" s="9" t="s">
        <v>37</v>
      </c>
      <c r="E14" s="11" t="s">
        <v>94</v>
      </c>
      <c r="F14" s="9" t="s">
        <v>95</v>
      </c>
      <c r="G14" s="17" t="n">
        <v>46155</v>
      </c>
      <c r="H14" s="9"/>
      <c r="I14" s="9" t="n">
        <v>5</v>
      </c>
      <c r="J14" s="9" t="s">
        <v>29</v>
      </c>
      <c r="K14" s="9" t="n">
        <f aca="false">I14</f>
        <v>5</v>
      </c>
      <c r="L14" s="9" t="n">
        <f aca="false">I14*22</f>
        <v>110</v>
      </c>
      <c r="M14" s="9" t="s">
        <v>26</v>
      </c>
      <c r="N14" s="11" t="s">
        <v>96</v>
      </c>
      <c r="O14" s="9" t="s">
        <v>31</v>
      </c>
      <c r="P14" s="9" t="s">
        <v>31</v>
      </c>
      <c r="Q14" s="16" t="s">
        <v>97</v>
      </c>
      <c r="R14" s="11" t="s">
        <v>71</v>
      </c>
      <c r="S14" s="9" t="s">
        <v>98</v>
      </c>
      <c r="T14" s="12" t="s">
        <v>35</v>
      </c>
      <c r="U14" s="13" t="s">
        <v>36</v>
      </c>
      <c r="V14" s="14"/>
      <c r="W14" s="15"/>
      <c r="X14" s="11"/>
      <c r="Y14" s="9"/>
      <c r="Z14" s="9" t="n">
        <v>14</v>
      </c>
    </row>
    <row r="15" customFormat="false" ht="34.5" hidden="false" customHeight="true" outlineLevel="0" collapsed="false">
      <c r="A15" s="9" t="s">
        <v>24</v>
      </c>
      <c r="B15" s="9" t="s">
        <v>25</v>
      </c>
      <c r="C15" s="10" t="n">
        <v>46179</v>
      </c>
      <c r="D15" s="9" t="s">
        <v>37</v>
      </c>
      <c r="E15" s="9" t="s">
        <v>38</v>
      </c>
      <c r="F15" s="9" t="s">
        <v>99</v>
      </c>
      <c r="G15" s="17" t="n">
        <v>46150</v>
      </c>
      <c r="H15" s="9"/>
      <c r="I15" s="9" t="n">
        <v>10</v>
      </c>
      <c r="J15" s="9" t="s">
        <v>29</v>
      </c>
      <c r="K15" s="9" t="n">
        <f aca="false">I15</f>
        <v>10</v>
      </c>
      <c r="L15" s="9" t="n">
        <f aca="false">I15*22</f>
        <v>220</v>
      </c>
      <c r="M15" s="9" t="s">
        <v>38</v>
      </c>
      <c r="N15" s="11" t="s">
        <v>100</v>
      </c>
      <c r="O15" s="18" t="s">
        <v>101</v>
      </c>
      <c r="P15" s="18" t="s">
        <v>102</v>
      </c>
      <c r="Q15" s="16" t="s">
        <v>91</v>
      </c>
      <c r="R15" s="11" t="s">
        <v>103</v>
      </c>
      <c r="S15" s="9" t="s">
        <v>104</v>
      </c>
      <c r="T15" s="9" t="s">
        <v>66</v>
      </c>
      <c r="U15" s="13" t="s">
        <v>105</v>
      </c>
      <c r="V15" s="14"/>
      <c r="W15" s="15"/>
      <c r="X15" s="13"/>
      <c r="Y15" s="9"/>
      <c r="Z15" s="9" t="n">
        <v>14</v>
      </c>
    </row>
    <row r="16" s="26" customFormat="true" ht="42.75" hidden="false" customHeight="true" outlineLevel="0" collapsed="false">
      <c r="A16" s="19" t="s">
        <v>24</v>
      </c>
      <c r="B16" s="9" t="s">
        <v>25</v>
      </c>
      <c r="C16" s="10" t="n">
        <v>46179</v>
      </c>
      <c r="D16" s="9" t="s">
        <v>37</v>
      </c>
      <c r="E16" s="16" t="s">
        <v>94</v>
      </c>
      <c r="F16" s="20" t="s">
        <v>106</v>
      </c>
      <c r="G16" s="17" t="n">
        <v>46157</v>
      </c>
      <c r="H16" s="21"/>
      <c r="I16" s="21" t="n">
        <v>12</v>
      </c>
      <c r="J16" s="21" t="s">
        <v>29</v>
      </c>
      <c r="K16" s="21" t="n">
        <f aca="false">I16*1</f>
        <v>12</v>
      </c>
      <c r="L16" s="21" t="n">
        <f aca="false">27.6*I16</f>
        <v>331.2</v>
      </c>
      <c r="M16" s="16" t="s">
        <v>26</v>
      </c>
      <c r="N16" s="16" t="s">
        <v>107</v>
      </c>
      <c r="O16" s="22" t="s">
        <v>31</v>
      </c>
      <c r="P16" s="16" t="s">
        <v>108</v>
      </c>
      <c r="Q16" s="16" t="s">
        <v>109</v>
      </c>
      <c r="R16" s="16" t="s">
        <v>110</v>
      </c>
      <c r="S16" s="20" t="s">
        <v>111</v>
      </c>
      <c r="T16" s="20" t="s">
        <v>66</v>
      </c>
      <c r="U16" s="13" t="s">
        <v>36</v>
      </c>
      <c r="V16" s="23"/>
      <c r="W16" s="24"/>
      <c r="X16" s="14" t="s">
        <v>112</v>
      </c>
      <c r="Y16" s="25"/>
      <c r="Z16" s="20" t="n">
        <v>14</v>
      </c>
    </row>
    <row r="17" s="26" customFormat="true" ht="42.75" hidden="false" customHeight="true" outlineLevel="0" collapsed="false">
      <c r="A17" s="19" t="s">
        <v>24</v>
      </c>
      <c r="B17" s="9" t="s">
        <v>25</v>
      </c>
      <c r="C17" s="10" t="n">
        <v>46179</v>
      </c>
      <c r="D17" s="9" t="s">
        <v>37</v>
      </c>
      <c r="E17" s="16" t="s">
        <v>94</v>
      </c>
      <c r="F17" s="20" t="s">
        <v>113</v>
      </c>
      <c r="G17" s="17" t="n">
        <v>46157</v>
      </c>
      <c r="H17" s="21"/>
      <c r="I17" s="21" t="n">
        <v>12</v>
      </c>
      <c r="J17" s="21" t="s">
        <v>29</v>
      </c>
      <c r="K17" s="21" t="n">
        <f aca="false">I17*1</f>
        <v>12</v>
      </c>
      <c r="L17" s="21" t="n">
        <f aca="false">27.6*I17</f>
        <v>331.2</v>
      </c>
      <c r="M17" s="16" t="s">
        <v>26</v>
      </c>
      <c r="N17" s="16" t="s">
        <v>107</v>
      </c>
      <c r="O17" s="22" t="s">
        <v>31</v>
      </c>
      <c r="P17" s="16" t="s">
        <v>108</v>
      </c>
      <c r="Q17" s="16" t="s">
        <v>109</v>
      </c>
      <c r="R17" s="16" t="s">
        <v>110</v>
      </c>
      <c r="S17" s="20" t="s">
        <v>111</v>
      </c>
      <c r="T17" s="20" t="s">
        <v>66</v>
      </c>
      <c r="U17" s="13" t="s">
        <v>36</v>
      </c>
      <c r="V17" s="23"/>
      <c r="W17" s="24"/>
      <c r="X17" s="14" t="s">
        <v>114</v>
      </c>
      <c r="Y17" s="25"/>
      <c r="Z17" s="20" t="n">
        <v>14</v>
      </c>
    </row>
    <row r="18" s="26" customFormat="true" ht="42.75" hidden="false" customHeight="true" outlineLevel="0" collapsed="false">
      <c r="A18" s="19" t="s">
        <v>24</v>
      </c>
      <c r="B18" s="9" t="s">
        <v>25</v>
      </c>
      <c r="C18" s="10" t="n">
        <v>46179</v>
      </c>
      <c r="D18" s="9" t="s">
        <v>37</v>
      </c>
      <c r="E18" s="16" t="s">
        <v>94</v>
      </c>
      <c r="F18" s="20" t="s">
        <v>115</v>
      </c>
      <c r="G18" s="17" t="n">
        <v>46157</v>
      </c>
      <c r="H18" s="21"/>
      <c r="I18" s="21" t="n">
        <v>12</v>
      </c>
      <c r="J18" s="21" t="s">
        <v>29</v>
      </c>
      <c r="K18" s="21" t="n">
        <f aca="false">I18*1</f>
        <v>12</v>
      </c>
      <c r="L18" s="21" t="n">
        <f aca="false">27.6*I18</f>
        <v>331.2</v>
      </c>
      <c r="M18" s="16" t="s">
        <v>26</v>
      </c>
      <c r="N18" s="16" t="s">
        <v>107</v>
      </c>
      <c r="O18" s="22" t="s">
        <v>31</v>
      </c>
      <c r="P18" s="16" t="s">
        <v>108</v>
      </c>
      <c r="Q18" s="16" t="s">
        <v>109</v>
      </c>
      <c r="R18" s="16" t="s">
        <v>110</v>
      </c>
      <c r="S18" s="20" t="s">
        <v>111</v>
      </c>
      <c r="T18" s="20" t="s">
        <v>66</v>
      </c>
      <c r="U18" s="13" t="s">
        <v>36</v>
      </c>
      <c r="V18" s="23"/>
      <c r="W18" s="24"/>
      <c r="X18" s="24"/>
      <c r="Y18" s="25"/>
      <c r="Z18" s="20" t="n">
        <v>14</v>
      </c>
    </row>
    <row r="19" s="26" customFormat="true" ht="42.75" hidden="false" customHeight="true" outlineLevel="0" collapsed="false">
      <c r="A19" s="19" t="s">
        <v>24</v>
      </c>
      <c r="B19" s="9" t="s">
        <v>25</v>
      </c>
      <c r="C19" s="10" t="n">
        <v>46179</v>
      </c>
      <c r="D19" s="9" t="s">
        <v>37</v>
      </c>
      <c r="E19" s="16" t="s">
        <v>94</v>
      </c>
      <c r="F19" s="20" t="s">
        <v>116</v>
      </c>
      <c r="G19" s="17" t="n">
        <v>46157</v>
      </c>
      <c r="H19" s="21"/>
      <c r="I19" s="21" t="n">
        <v>12</v>
      </c>
      <c r="J19" s="21" t="s">
        <v>29</v>
      </c>
      <c r="K19" s="21" t="n">
        <f aca="false">I19*1</f>
        <v>12</v>
      </c>
      <c r="L19" s="21" t="n">
        <f aca="false">27.6*I19</f>
        <v>331.2</v>
      </c>
      <c r="M19" s="16" t="s">
        <v>26</v>
      </c>
      <c r="N19" s="16" t="s">
        <v>107</v>
      </c>
      <c r="O19" s="22" t="s">
        <v>31</v>
      </c>
      <c r="P19" s="16" t="s">
        <v>108</v>
      </c>
      <c r="Q19" s="16" t="s">
        <v>109</v>
      </c>
      <c r="R19" s="16" t="s">
        <v>110</v>
      </c>
      <c r="S19" s="20" t="s">
        <v>111</v>
      </c>
      <c r="T19" s="20" t="s">
        <v>66</v>
      </c>
      <c r="U19" s="13" t="s">
        <v>36</v>
      </c>
      <c r="V19" s="23"/>
      <c r="W19" s="24"/>
      <c r="X19" s="24"/>
      <c r="Y19" s="25"/>
      <c r="Z19" s="20" t="n">
        <v>14</v>
      </c>
    </row>
    <row r="20" s="26" customFormat="true" ht="42.75" hidden="false" customHeight="true" outlineLevel="0" collapsed="false">
      <c r="A20" s="27" t="s">
        <v>24</v>
      </c>
      <c r="B20" s="28" t="s">
        <v>25</v>
      </c>
      <c r="C20" s="10" t="n">
        <v>46179</v>
      </c>
      <c r="D20" s="28" t="s">
        <v>37</v>
      </c>
      <c r="E20" s="28" t="s">
        <v>38</v>
      </c>
      <c r="F20" s="29" t="s">
        <v>117</v>
      </c>
      <c r="G20" s="30" t="n">
        <v>46157</v>
      </c>
      <c r="H20" s="31" t="n">
        <v>26</v>
      </c>
      <c r="I20" s="31"/>
      <c r="J20" s="31" t="s">
        <v>29</v>
      </c>
      <c r="K20" s="31" t="n">
        <f aca="false">H20*2</f>
        <v>52</v>
      </c>
      <c r="L20" s="31" t="n">
        <f aca="false">H20*28</f>
        <v>728</v>
      </c>
      <c r="M20" s="28" t="s">
        <v>38</v>
      </c>
      <c r="N20" s="32" t="s">
        <v>118</v>
      </c>
      <c r="O20" s="33" t="s">
        <v>31</v>
      </c>
      <c r="P20" s="32" t="s">
        <v>108</v>
      </c>
      <c r="Q20" s="34" t="s">
        <v>119</v>
      </c>
      <c r="R20" s="34" t="s">
        <v>120</v>
      </c>
      <c r="S20" s="29" t="s">
        <v>121</v>
      </c>
      <c r="T20" s="35" t="s">
        <v>35</v>
      </c>
      <c r="U20" s="36" t="s">
        <v>122</v>
      </c>
      <c r="V20" s="37"/>
      <c r="W20" s="38"/>
      <c r="X20" s="38"/>
      <c r="Y20" s="39"/>
      <c r="Z20" s="29"/>
    </row>
    <row r="21" s="9" customFormat="true" ht="35.25" hidden="false" customHeight="true" outlineLevel="0" collapsed="false">
      <c r="A21" s="19" t="s">
        <v>24</v>
      </c>
      <c r="B21" s="9" t="s">
        <v>25</v>
      </c>
      <c r="C21" s="10" t="n">
        <v>46179</v>
      </c>
      <c r="D21" s="9" t="s">
        <v>26</v>
      </c>
      <c r="E21" s="9" t="s">
        <v>27</v>
      </c>
      <c r="F21" s="9" t="s">
        <v>123</v>
      </c>
      <c r="G21" s="17" t="n">
        <v>46156</v>
      </c>
      <c r="H21" s="9" t="n">
        <v>2</v>
      </c>
      <c r="J21" s="9" t="s">
        <v>29</v>
      </c>
      <c r="K21" s="9" t="n">
        <f aca="false">H21*2</f>
        <v>4</v>
      </c>
      <c r="L21" s="9" t="n">
        <f aca="false">H21*28</f>
        <v>56</v>
      </c>
      <c r="M21" s="9" t="s">
        <v>27</v>
      </c>
      <c r="N21" s="11" t="s">
        <v>124</v>
      </c>
      <c r="O21" s="9" t="s">
        <v>31</v>
      </c>
      <c r="P21" s="9" t="s">
        <v>31</v>
      </c>
      <c r="Q21" s="16" t="s">
        <v>125</v>
      </c>
      <c r="R21" s="11" t="s">
        <v>126</v>
      </c>
      <c r="S21" s="9" t="s">
        <v>127</v>
      </c>
      <c r="T21" s="12" t="s">
        <v>35</v>
      </c>
      <c r="U21" s="13" t="s">
        <v>36</v>
      </c>
      <c r="V21" s="14"/>
      <c r="W21" s="15"/>
      <c r="X21" s="13"/>
      <c r="Z21" s="9" t="n">
        <v>14</v>
      </c>
    </row>
    <row r="22" s="9" customFormat="true" ht="35.25" hidden="false" customHeight="true" outlineLevel="0" collapsed="false">
      <c r="A22" s="19" t="s">
        <v>24</v>
      </c>
      <c r="B22" s="9" t="s">
        <v>25</v>
      </c>
      <c r="C22" s="10" t="n">
        <v>46179</v>
      </c>
      <c r="D22" s="9" t="s">
        <v>37</v>
      </c>
      <c r="E22" s="9" t="s">
        <v>38</v>
      </c>
      <c r="F22" s="9" t="s">
        <v>128</v>
      </c>
      <c r="G22" s="17" t="n">
        <v>46162</v>
      </c>
      <c r="H22" s="9" t="n">
        <v>4</v>
      </c>
      <c r="J22" s="9" t="s">
        <v>29</v>
      </c>
      <c r="K22" s="9" t="n">
        <f aca="false">H22*2</f>
        <v>8</v>
      </c>
      <c r="L22" s="9" t="n">
        <f aca="false">H22*28</f>
        <v>112</v>
      </c>
      <c r="M22" s="9" t="s">
        <v>38</v>
      </c>
      <c r="N22" s="11" t="s">
        <v>129</v>
      </c>
      <c r="O22" s="9" t="s">
        <v>31</v>
      </c>
      <c r="P22" s="9" t="s">
        <v>31</v>
      </c>
      <c r="Q22" s="16" t="s">
        <v>130</v>
      </c>
      <c r="R22" s="11" t="s">
        <v>131</v>
      </c>
      <c r="S22" s="9" t="s">
        <v>132</v>
      </c>
      <c r="T22" s="12" t="s">
        <v>35</v>
      </c>
      <c r="U22" s="13" t="s">
        <v>36</v>
      </c>
      <c r="V22" s="13"/>
      <c r="W22" s="15"/>
      <c r="X22" s="13" t="s">
        <v>133</v>
      </c>
      <c r="Z22" s="9" t="n">
        <v>14</v>
      </c>
    </row>
    <row r="23" s="9" customFormat="true" ht="35.25" hidden="false" customHeight="true" outlineLevel="0" collapsed="false">
      <c r="A23" s="19" t="s">
        <v>24</v>
      </c>
      <c r="B23" s="9" t="s">
        <v>25</v>
      </c>
      <c r="C23" s="10" t="n">
        <v>46179</v>
      </c>
      <c r="D23" s="9" t="s">
        <v>37</v>
      </c>
      <c r="E23" s="9" t="s">
        <v>38</v>
      </c>
      <c r="F23" s="9" t="s">
        <v>134</v>
      </c>
      <c r="G23" s="17" t="n">
        <v>46162</v>
      </c>
      <c r="H23" s="9" t="n">
        <v>4</v>
      </c>
      <c r="J23" s="9" t="s">
        <v>29</v>
      </c>
      <c r="K23" s="9" t="n">
        <f aca="false">H23*2</f>
        <v>8</v>
      </c>
      <c r="L23" s="9" t="n">
        <f aca="false">H23*28</f>
        <v>112</v>
      </c>
      <c r="M23" s="9" t="s">
        <v>38</v>
      </c>
      <c r="N23" s="11" t="s">
        <v>129</v>
      </c>
      <c r="O23" s="9" t="s">
        <v>31</v>
      </c>
      <c r="P23" s="9" t="s">
        <v>31</v>
      </c>
      <c r="Q23" s="16" t="s">
        <v>130</v>
      </c>
      <c r="R23" s="11" t="s">
        <v>131</v>
      </c>
      <c r="S23" s="9" t="s">
        <v>132</v>
      </c>
      <c r="T23" s="12" t="s">
        <v>35</v>
      </c>
      <c r="U23" s="13" t="s">
        <v>36</v>
      </c>
      <c r="V23" s="13"/>
      <c r="W23" s="15"/>
      <c r="X23" s="13" t="s">
        <v>133</v>
      </c>
      <c r="Z23" s="9" t="n">
        <v>14</v>
      </c>
    </row>
    <row r="24" s="9" customFormat="true" ht="35.25" hidden="false" customHeight="true" outlineLevel="0" collapsed="false">
      <c r="A24" s="40" t="s">
        <v>24</v>
      </c>
      <c r="B24" s="40" t="s">
        <v>25</v>
      </c>
      <c r="C24" s="10" t="n">
        <v>46179</v>
      </c>
      <c r="D24" s="9" t="s">
        <v>26</v>
      </c>
      <c r="E24" s="41" t="s">
        <v>49</v>
      </c>
      <c r="F24" s="9" t="s">
        <v>135</v>
      </c>
      <c r="G24" s="17" t="n">
        <v>46162</v>
      </c>
      <c r="H24" s="9" t="n">
        <v>4</v>
      </c>
      <c r="J24" s="9" t="s">
        <v>29</v>
      </c>
      <c r="K24" s="9" t="n">
        <f aca="false">H24*2</f>
        <v>8</v>
      </c>
      <c r="L24" s="9" t="n">
        <f aca="false">H24*28</f>
        <v>112</v>
      </c>
      <c r="M24" s="41" t="s">
        <v>49</v>
      </c>
      <c r="N24" s="11" t="s">
        <v>85</v>
      </c>
      <c r="O24" s="9" t="s">
        <v>31</v>
      </c>
      <c r="P24" s="9" t="s">
        <v>31</v>
      </c>
      <c r="Q24" s="16" t="s">
        <v>86</v>
      </c>
      <c r="R24" s="11" t="s">
        <v>87</v>
      </c>
      <c r="S24" s="9" t="s">
        <v>136</v>
      </c>
      <c r="T24" s="12" t="s">
        <v>35</v>
      </c>
      <c r="U24" s="13" t="s">
        <v>36</v>
      </c>
      <c r="V24" s="14"/>
      <c r="W24" s="15"/>
      <c r="X24" s="13" t="s">
        <v>133</v>
      </c>
      <c r="Z24" s="9" t="n">
        <v>14</v>
      </c>
    </row>
    <row r="25" s="9" customFormat="true" ht="35.25" hidden="false" customHeight="true" outlineLevel="0" collapsed="false">
      <c r="A25" s="40" t="s">
        <v>24</v>
      </c>
      <c r="B25" s="40" t="s">
        <v>25</v>
      </c>
      <c r="C25" s="10" t="n">
        <v>46179</v>
      </c>
      <c r="D25" s="9" t="s">
        <v>26</v>
      </c>
      <c r="E25" s="41" t="s">
        <v>49</v>
      </c>
      <c r="F25" s="9" t="s">
        <v>137</v>
      </c>
      <c r="G25" s="17" t="n">
        <v>46162</v>
      </c>
      <c r="H25" s="9" t="n">
        <v>3</v>
      </c>
      <c r="J25" s="9" t="s">
        <v>29</v>
      </c>
      <c r="K25" s="9" t="n">
        <f aca="false">H25*2</f>
        <v>6</v>
      </c>
      <c r="L25" s="9" t="n">
        <f aca="false">H25*28</f>
        <v>84</v>
      </c>
      <c r="M25" s="41" t="s">
        <v>49</v>
      </c>
      <c r="N25" s="11" t="s">
        <v>85</v>
      </c>
      <c r="O25" s="9" t="s">
        <v>31</v>
      </c>
      <c r="P25" s="9" t="s">
        <v>31</v>
      </c>
      <c r="Q25" s="16" t="s">
        <v>86</v>
      </c>
      <c r="R25" s="11" t="s">
        <v>87</v>
      </c>
      <c r="S25" s="9" t="s">
        <v>136</v>
      </c>
      <c r="T25" s="12" t="s">
        <v>35</v>
      </c>
      <c r="U25" s="13" t="s">
        <v>36</v>
      </c>
      <c r="V25" s="14"/>
      <c r="W25" s="15"/>
      <c r="X25" s="13" t="s">
        <v>133</v>
      </c>
      <c r="Z25" s="9" t="n">
        <v>14</v>
      </c>
    </row>
    <row r="26" s="9" customFormat="true" ht="35.25" hidden="false" customHeight="true" outlineLevel="0" collapsed="false">
      <c r="A26" s="40" t="s">
        <v>24</v>
      </c>
      <c r="B26" s="40" t="s">
        <v>25</v>
      </c>
      <c r="C26" s="10" t="n">
        <v>46179</v>
      </c>
      <c r="D26" s="9" t="s">
        <v>37</v>
      </c>
      <c r="E26" s="16" t="s">
        <v>94</v>
      </c>
      <c r="F26" s="9" t="s">
        <v>138</v>
      </c>
      <c r="G26" s="17" t="n">
        <v>46163</v>
      </c>
      <c r="H26" s="9" t="n">
        <v>1</v>
      </c>
      <c r="J26" s="9" t="s">
        <v>29</v>
      </c>
      <c r="K26" s="9" t="n">
        <f aca="false">H26*2</f>
        <v>2</v>
      </c>
      <c r="L26" s="9" t="n">
        <f aca="false">H26*28</f>
        <v>28</v>
      </c>
      <c r="M26" s="16" t="s">
        <v>26</v>
      </c>
      <c r="N26" s="11" t="s">
        <v>139</v>
      </c>
      <c r="O26" s="9" t="s">
        <v>31</v>
      </c>
      <c r="P26" s="9" t="s">
        <v>31</v>
      </c>
      <c r="Q26" s="16" t="s">
        <v>140</v>
      </c>
      <c r="R26" s="11" t="s">
        <v>141</v>
      </c>
      <c r="S26" s="9" t="s">
        <v>142</v>
      </c>
      <c r="T26" s="9" t="s">
        <v>66</v>
      </c>
      <c r="U26" s="13" t="s">
        <v>36</v>
      </c>
      <c r="V26" s="14"/>
      <c r="W26" s="15"/>
      <c r="X26" s="13" t="s">
        <v>133</v>
      </c>
      <c r="Z26" s="9" t="n">
        <v>14</v>
      </c>
    </row>
    <row r="27" s="44" customFormat="true" ht="35.25" hidden="false" customHeight="true" outlineLevel="0" collapsed="false">
      <c r="A27" s="42" t="s">
        <v>24</v>
      </c>
      <c r="B27" s="42" t="s">
        <v>25</v>
      </c>
      <c r="C27" s="43" t="n">
        <v>46179</v>
      </c>
      <c r="D27" s="44" t="s">
        <v>26</v>
      </c>
      <c r="E27" s="45" t="s">
        <v>49</v>
      </c>
      <c r="F27" s="44" t="s">
        <v>143</v>
      </c>
      <c r="G27" s="46" t="n">
        <v>46144</v>
      </c>
      <c r="I27" s="44" t="n">
        <v>1</v>
      </c>
      <c r="K27" s="44" t="n">
        <f aca="false">I27</f>
        <v>1</v>
      </c>
      <c r="L27" s="44" t="n">
        <f aca="false">I27*22</f>
        <v>22</v>
      </c>
      <c r="M27" s="45" t="s">
        <v>49</v>
      </c>
      <c r="N27" s="47" t="s">
        <v>144</v>
      </c>
      <c r="O27" s="44" t="s">
        <v>31</v>
      </c>
      <c r="P27" s="44" t="s">
        <v>31</v>
      </c>
      <c r="Q27" s="48" t="s">
        <v>145</v>
      </c>
      <c r="R27" s="47" t="s">
        <v>71</v>
      </c>
      <c r="S27" s="44" t="s">
        <v>146</v>
      </c>
      <c r="U27" s="13" t="s">
        <v>36</v>
      </c>
      <c r="V27" s="13"/>
      <c r="W27" s="18"/>
      <c r="X27" s="13" t="s">
        <v>133</v>
      </c>
    </row>
    <row r="28" s="40" customFormat="true" ht="35.25" hidden="false" customHeight="true" outlineLevel="0" collapsed="false">
      <c r="A28" s="40" t="s">
        <v>24</v>
      </c>
      <c r="B28" s="40" t="s">
        <v>25</v>
      </c>
      <c r="C28" s="49" t="n">
        <v>46179</v>
      </c>
      <c r="D28" s="40" t="s">
        <v>26</v>
      </c>
      <c r="E28" s="41" t="s">
        <v>49</v>
      </c>
      <c r="F28" s="40" t="s">
        <v>147</v>
      </c>
      <c r="G28" s="50" t="n">
        <v>46167</v>
      </c>
      <c r="I28" s="40" t="n">
        <v>12</v>
      </c>
      <c r="J28" s="40" t="s">
        <v>29</v>
      </c>
      <c r="K28" s="40" t="n">
        <f aca="false">I28</f>
        <v>12</v>
      </c>
      <c r="L28" s="40" t="n">
        <f aca="false">I28*22</f>
        <v>264</v>
      </c>
      <c r="M28" s="41" t="s">
        <v>49</v>
      </c>
      <c r="N28" s="51" t="s">
        <v>148</v>
      </c>
      <c r="O28" s="40" t="s">
        <v>31</v>
      </c>
      <c r="P28" s="40" t="s">
        <v>31</v>
      </c>
      <c r="Q28" s="52" t="s">
        <v>149</v>
      </c>
      <c r="R28" s="51" t="s">
        <v>150</v>
      </c>
      <c r="S28" s="40" t="s">
        <v>151</v>
      </c>
      <c r="T28" s="40" t="s">
        <v>66</v>
      </c>
      <c r="U28" s="53" t="s">
        <v>36</v>
      </c>
      <c r="V28" s="54"/>
      <c r="W28" s="55"/>
      <c r="X28" s="54" t="s">
        <v>152</v>
      </c>
      <c r="Z28" s="40" t="n">
        <v>14</v>
      </c>
    </row>
    <row r="29" s="9" customFormat="true" ht="35.25" hidden="false" customHeight="true" outlineLevel="0" collapsed="false">
      <c r="A29" s="9" t="s">
        <v>24</v>
      </c>
      <c r="B29" s="9" t="s">
        <v>25</v>
      </c>
      <c r="C29" s="10" t="n">
        <v>46179</v>
      </c>
      <c r="D29" s="9" t="s">
        <v>26</v>
      </c>
      <c r="E29" s="9" t="s">
        <v>27</v>
      </c>
      <c r="F29" s="56" t="s">
        <v>153</v>
      </c>
      <c r="G29" s="17" t="n">
        <v>46156</v>
      </c>
      <c r="H29" s="9" t="n">
        <v>2</v>
      </c>
      <c r="J29" s="9" t="s">
        <v>29</v>
      </c>
      <c r="K29" s="9" t="n">
        <f aca="false">H29*2</f>
        <v>4</v>
      </c>
      <c r="L29" s="9" t="n">
        <f aca="false">H29*28</f>
        <v>56</v>
      </c>
      <c r="M29" s="9" t="s">
        <v>27</v>
      </c>
      <c r="N29" s="11" t="s">
        <v>154</v>
      </c>
      <c r="O29" s="9" t="s">
        <v>31</v>
      </c>
      <c r="P29" s="9" t="s">
        <v>31</v>
      </c>
      <c r="Q29" s="16" t="s">
        <v>155</v>
      </c>
      <c r="R29" s="11" t="s">
        <v>156</v>
      </c>
      <c r="S29" s="9" t="s">
        <v>157</v>
      </c>
      <c r="T29" s="12" t="s">
        <v>35</v>
      </c>
      <c r="U29" s="36" t="s">
        <v>122</v>
      </c>
      <c r="V29" s="14"/>
      <c r="W29" s="15"/>
      <c r="X29" s="13"/>
      <c r="Z29" s="19" t="n">
        <v>21</v>
      </c>
    </row>
    <row r="30" customFormat="false" ht="35.25" hidden="false" customHeight="true" outlineLevel="0" collapsed="false">
      <c r="A30" s="40" t="s">
        <v>24</v>
      </c>
      <c r="B30" s="40" t="s">
        <v>25</v>
      </c>
      <c r="C30" s="10" t="n">
        <v>46179</v>
      </c>
      <c r="D30" s="9" t="s">
        <v>26</v>
      </c>
      <c r="E30" s="41" t="s">
        <v>49</v>
      </c>
      <c r="F30" s="57" t="s">
        <v>158</v>
      </c>
      <c r="G30" s="50" t="n">
        <v>46161</v>
      </c>
      <c r="H30" s="40"/>
      <c r="I30" s="40" t="n">
        <v>9</v>
      </c>
      <c r="J30" s="40" t="s">
        <v>29</v>
      </c>
      <c r="K30" s="40" t="n">
        <f aca="false">I30</f>
        <v>9</v>
      </c>
      <c r="L30" s="40" t="n">
        <f aca="false">I30*22</f>
        <v>198</v>
      </c>
      <c r="M30" s="41" t="s">
        <v>49</v>
      </c>
      <c r="N30" s="40" t="s">
        <v>159</v>
      </c>
      <c r="O30" s="40" t="s">
        <v>31</v>
      </c>
      <c r="P30" s="40" t="s">
        <v>31</v>
      </c>
      <c r="Q30" s="51" t="s">
        <v>160</v>
      </c>
      <c r="R30" s="40" t="s">
        <v>161</v>
      </c>
      <c r="S30" s="40" t="s">
        <v>162</v>
      </c>
      <c r="T30" s="58" t="s">
        <v>35</v>
      </c>
      <c r="U30" s="13" t="s">
        <v>36</v>
      </c>
      <c r="V30" s="54"/>
      <c r="W30" s="55"/>
      <c r="X30" s="54"/>
      <c r="Y30" s="40"/>
      <c r="Z30" s="40" t="n">
        <v>14</v>
      </c>
    </row>
    <row r="31" s="9" customFormat="true" ht="17.25" hidden="false" customHeight="true" outlineLevel="0" collapsed="false">
      <c r="A31" s="59" t="s">
        <v>163</v>
      </c>
      <c r="B31" s="59"/>
      <c r="C31" s="59"/>
      <c r="D31" s="59"/>
      <c r="E31" s="59" t="s">
        <v>164</v>
      </c>
      <c r="F31" s="59"/>
      <c r="G31" s="59"/>
      <c r="H31" s="59" t="n">
        <f aca="false">SUM(H2:H30)</f>
        <v>258</v>
      </c>
      <c r="I31" s="59" t="n">
        <f aca="false">SUM(I2:I30)</f>
        <v>107</v>
      </c>
      <c r="J31" s="59"/>
      <c r="K31" s="59" t="n">
        <f aca="false">SUM(K2:K30)</f>
        <v>623</v>
      </c>
      <c r="L31" s="59" t="n">
        <f aca="false">SUM(L2:L30)</f>
        <v>9378.8</v>
      </c>
      <c r="M31" s="59"/>
      <c r="N31" s="59"/>
      <c r="O31" s="59"/>
      <c r="P31" s="59"/>
      <c r="Q31" s="60"/>
      <c r="R31" s="59"/>
      <c r="S31" s="59"/>
      <c r="T31" s="59"/>
      <c r="U31" s="61"/>
      <c r="V31" s="60"/>
      <c r="W31" s="59"/>
      <c r="X31" s="60"/>
      <c r="Y31" s="59"/>
      <c r="Z31" s="59"/>
    </row>
    <row r="32" s="66" customFormat="true" ht="42" hidden="false" customHeight="true" outlineLevel="0" collapsed="false">
      <c r="A32" s="9" t="s">
        <v>24</v>
      </c>
      <c r="B32" s="9" t="s">
        <v>165</v>
      </c>
      <c r="C32" s="10" t="n">
        <v>46201</v>
      </c>
      <c r="D32" s="9" t="s">
        <v>26</v>
      </c>
      <c r="E32" s="9" t="s">
        <v>27</v>
      </c>
      <c r="F32" s="62" t="s">
        <v>166</v>
      </c>
      <c r="G32" s="63" t="n">
        <v>46163</v>
      </c>
      <c r="H32" s="62"/>
      <c r="I32" s="62" t="n">
        <v>5</v>
      </c>
      <c r="J32" s="9" t="s">
        <v>29</v>
      </c>
      <c r="K32" s="62" t="n">
        <f aca="false">I32</f>
        <v>5</v>
      </c>
      <c r="L32" s="62" t="n">
        <f aca="false">I32*22</f>
        <v>110</v>
      </c>
      <c r="M32" s="9" t="s">
        <v>27</v>
      </c>
      <c r="N32" s="64" t="s">
        <v>167</v>
      </c>
      <c r="O32" s="9" t="s">
        <v>31</v>
      </c>
      <c r="P32" s="9" t="s">
        <v>31</v>
      </c>
      <c r="Q32" s="64" t="s">
        <v>168</v>
      </c>
      <c r="R32" s="62" t="s">
        <v>33</v>
      </c>
      <c r="S32" s="62" t="s">
        <v>34</v>
      </c>
      <c r="T32" s="9" t="s">
        <v>66</v>
      </c>
      <c r="U32" s="65" t="s">
        <v>169</v>
      </c>
      <c r="V32" s="64"/>
      <c r="W32" s="62"/>
      <c r="X32" s="64"/>
      <c r="Y32" s="62"/>
      <c r="Z32" s="62" t="n">
        <v>14</v>
      </c>
    </row>
    <row r="33" customFormat="false" ht="35.25" hidden="false" customHeight="true" outlineLevel="0" collapsed="false">
      <c r="A33" s="9" t="s">
        <v>24</v>
      </c>
      <c r="B33" s="9" t="s">
        <v>165</v>
      </c>
      <c r="C33" s="10" t="n">
        <v>46201</v>
      </c>
      <c r="D33" s="9" t="s">
        <v>26</v>
      </c>
      <c r="E33" s="9" t="s">
        <v>27</v>
      </c>
      <c r="F33" s="9" t="s">
        <v>170</v>
      </c>
      <c r="G33" s="17" t="n">
        <v>46150</v>
      </c>
      <c r="H33" s="9" t="n">
        <v>35</v>
      </c>
      <c r="I33" s="9"/>
      <c r="J33" s="9" t="s">
        <v>29</v>
      </c>
      <c r="K33" s="9" t="n">
        <f aca="false">H33*2</f>
        <v>70</v>
      </c>
      <c r="L33" s="9" t="n">
        <f aca="false">H33*25</f>
        <v>875</v>
      </c>
      <c r="M33" s="9" t="s">
        <v>27</v>
      </c>
      <c r="N33" s="9" t="s">
        <v>74</v>
      </c>
      <c r="O33" s="9" t="s">
        <v>31</v>
      </c>
      <c r="P33" s="9" t="s">
        <v>31</v>
      </c>
      <c r="Q33" s="11" t="s">
        <v>80</v>
      </c>
      <c r="R33" s="9" t="s">
        <v>81</v>
      </c>
      <c r="S33" s="9" t="s">
        <v>171</v>
      </c>
      <c r="T33" s="9" t="s">
        <v>66</v>
      </c>
      <c r="U33" s="65" t="s">
        <v>169</v>
      </c>
      <c r="V33" s="14"/>
      <c r="W33" s="15"/>
      <c r="X33" s="11"/>
      <c r="Y33" s="9"/>
      <c r="Z33" s="9" t="n">
        <v>14</v>
      </c>
    </row>
    <row r="34" customFormat="false" ht="35.25" hidden="false" customHeight="true" outlineLevel="0" collapsed="false">
      <c r="A34" s="9" t="s">
        <v>24</v>
      </c>
      <c r="B34" s="9" t="s">
        <v>165</v>
      </c>
      <c r="C34" s="10" t="n">
        <v>46201</v>
      </c>
      <c r="D34" s="9" t="s">
        <v>26</v>
      </c>
      <c r="E34" s="41" t="s">
        <v>49</v>
      </c>
      <c r="F34" s="9" t="s">
        <v>172</v>
      </c>
      <c r="G34" s="17" t="n">
        <v>46150</v>
      </c>
      <c r="H34" s="9"/>
      <c r="I34" s="9" t="n">
        <v>30</v>
      </c>
      <c r="J34" s="9" t="s">
        <v>29</v>
      </c>
      <c r="K34" s="9" t="n">
        <f aca="false">I34</f>
        <v>30</v>
      </c>
      <c r="L34" s="9" t="n">
        <f aca="false">I34*22</f>
        <v>660</v>
      </c>
      <c r="M34" s="16" t="s">
        <v>49</v>
      </c>
      <c r="N34" s="9" t="s">
        <v>173</v>
      </c>
      <c r="O34" s="9" t="s">
        <v>31</v>
      </c>
      <c r="P34" s="9" t="s">
        <v>31</v>
      </c>
      <c r="Q34" s="11" t="s">
        <v>174</v>
      </c>
      <c r="R34" s="9" t="s">
        <v>175</v>
      </c>
      <c r="S34" s="9" t="s">
        <v>176</v>
      </c>
      <c r="T34" s="9" t="s">
        <v>66</v>
      </c>
      <c r="U34" s="65" t="s">
        <v>169</v>
      </c>
      <c r="V34" s="14"/>
      <c r="W34" s="15"/>
      <c r="X34" s="11"/>
      <c r="Y34" s="9"/>
      <c r="Z34" s="9" t="n">
        <v>14</v>
      </c>
    </row>
    <row r="35" customFormat="false" ht="35.25" hidden="false" customHeight="true" outlineLevel="0" collapsed="false">
      <c r="A35" s="9" t="s">
        <v>24</v>
      </c>
      <c r="B35" s="9" t="s">
        <v>165</v>
      </c>
      <c r="C35" s="10" t="n">
        <v>46201</v>
      </c>
      <c r="D35" s="9" t="s">
        <v>26</v>
      </c>
      <c r="E35" s="41" t="s">
        <v>49</v>
      </c>
      <c r="F35" s="9" t="s">
        <v>177</v>
      </c>
      <c r="G35" s="17" t="n">
        <v>46149</v>
      </c>
      <c r="H35" s="9"/>
      <c r="I35" s="9" t="n">
        <v>12</v>
      </c>
      <c r="J35" s="9" t="s">
        <v>29</v>
      </c>
      <c r="K35" s="9" t="n">
        <f aca="false">I35</f>
        <v>12</v>
      </c>
      <c r="L35" s="9" t="n">
        <f aca="false">I35*22</f>
        <v>264</v>
      </c>
      <c r="M35" s="16" t="s">
        <v>49</v>
      </c>
      <c r="N35" s="9" t="s">
        <v>173</v>
      </c>
      <c r="O35" s="9" t="s">
        <v>31</v>
      </c>
      <c r="P35" s="9" t="s">
        <v>31</v>
      </c>
      <c r="Q35" s="11" t="s">
        <v>174</v>
      </c>
      <c r="R35" s="9" t="s">
        <v>175</v>
      </c>
      <c r="S35" s="9" t="s">
        <v>176</v>
      </c>
      <c r="T35" s="9" t="s">
        <v>66</v>
      </c>
      <c r="U35" s="65" t="s">
        <v>169</v>
      </c>
      <c r="V35" s="14"/>
      <c r="W35" s="15"/>
      <c r="X35" s="14" t="s">
        <v>178</v>
      </c>
      <c r="Y35" s="9"/>
      <c r="Z35" s="9" t="n">
        <v>14</v>
      </c>
    </row>
    <row r="36" customFormat="false" ht="35.25" hidden="false" customHeight="true" outlineLevel="0" collapsed="false">
      <c r="A36" s="9" t="s">
        <v>24</v>
      </c>
      <c r="B36" s="9" t="s">
        <v>165</v>
      </c>
      <c r="C36" s="10" t="n">
        <v>46201</v>
      </c>
      <c r="D36" s="9" t="s">
        <v>37</v>
      </c>
      <c r="E36" s="9" t="s">
        <v>38</v>
      </c>
      <c r="F36" s="9" t="s">
        <v>179</v>
      </c>
      <c r="G36" s="17" t="n">
        <v>46160</v>
      </c>
      <c r="H36" s="9" t="n">
        <v>50</v>
      </c>
      <c r="I36" s="9"/>
      <c r="J36" s="9" t="s">
        <v>29</v>
      </c>
      <c r="K36" s="9" t="n">
        <f aca="false">H36*2</f>
        <v>100</v>
      </c>
      <c r="L36" s="9" t="n">
        <f aca="false">H36*28</f>
        <v>1400</v>
      </c>
      <c r="M36" s="9" t="s">
        <v>38</v>
      </c>
      <c r="N36" s="9" t="s">
        <v>180</v>
      </c>
      <c r="O36" s="9" t="s">
        <v>31</v>
      </c>
      <c r="P36" s="9" t="s">
        <v>31</v>
      </c>
      <c r="Q36" s="11" t="s">
        <v>181</v>
      </c>
      <c r="R36" s="9" t="s">
        <v>64</v>
      </c>
      <c r="S36" s="9" t="s">
        <v>182</v>
      </c>
      <c r="T36" s="9" t="s">
        <v>66</v>
      </c>
      <c r="U36" s="65" t="s">
        <v>169</v>
      </c>
      <c r="V36" s="14"/>
      <c r="W36" s="15"/>
      <c r="X36" s="14"/>
      <c r="Y36" s="9"/>
      <c r="Z36" s="9" t="n">
        <v>14</v>
      </c>
    </row>
    <row r="37" customFormat="false" ht="35.25" hidden="false" customHeight="true" outlineLevel="0" collapsed="false">
      <c r="A37" s="9" t="s">
        <v>24</v>
      </c>
      <c r="B37" s="9" t="s">
        <v>165</v>
      </c>
      <c r="C37" s="10" t="n">
        <v>46201</v>
      </c>
      <c r="D37" s="9" t="s">
        <v>37</v>
      </c>
      <c r="E37" s="9" t="s">
        <v>38</v>
      </c>
      <c r="F37" s="9" t="s">
        <v>183</v>
      </c>
      <c r="G37" s="17" t="n">
        <v>46163</v>
      </c>
      <c r="H37" s="9" t="n">
        <v>22</v>
      </c>
      <c r="I37" s="9"/>
      <c r="J37" s="9" t="s">
        <v>29</v>
      </c>
      <c r="K37" s="9" t="n">
        <f aca="false">H37*2</f>
        <v>44</v>
      </c>
      <c r="L37" s="9" t="n">
        <f aca="false">H37*28</f>
        <v>616</v>
      </c>
      <c r="M37" s="9" t="s">
        <v>38</v>
      </c>
      <c r="N37" s="9" t="s">
        <v>184</v>
      </c>
      <c r="O37" s="9" t="s">
        <v>31</v>
      </c>
      <c r="P37" s="9" t="s">
        <v>31</v>
      </c>
      <c r="Q37" s="11" t="s">
        <v>185</v>
      </c>
      <c r="R37" s="9" t="s">
        <v>186</v>
      </c>
      <c r="S37" s="9" t="s">
        <v>187</v>
      </c>
      <c r="T37" s="9" t="s">
        <v>66</v>
      </c>
      <c r="U37" s="65" t="s">
        <v>169</v>
      </c>
      <c r="V37" s="14"/>
      <c r="W37" s="15"/>
      <c r="X37" s="14"/>
      <c r="Y37" s="9"/>
      <c r="Z37" s="9" t="n">
        <v>14</v>
      </c>
    </row>
    <row r="38" s="9" customFormat="true" ht="35.25" hidden="false" customHeight="true" outlineLevel="0" collapsed="false">
      <c r="A38" s="9" t="s">
        <v>24</v>
      </c>
      <c r="B38" s="9" t="s">
        <v>165</v>
      </c>
      <c r="C38" s="10" t="n">
        <v>46201</v>
      </c>
      <c r="D38" s="9" t="s">
        <v>26</v>
      </c>
      <c r="E38" s="41" t="s">
        <v>49</v>
      </c>
      <c r="F38" s="9" t="s">
        <v>188</v>
      </c>
      <c r="G38" s="17" t="n">
        <v>46162</v>
      </c>
      <c r="H38" s="9" t="n">
        <v>3</v>
      </c>
      <c r="J38" s="9" t="s">
        <v>29</v>
      </c>
      <c r="K38" s="9" t="n">
        <f aca="false">H38*2</f>
        <v>6</v>
      </c>
      <c r="L38" s="9" t="n">
        <f aca="false">H38*28</f>
        <v>84</v>
      </c>
      <c r="M38" s="41" t="s">
        <v>49</v>
      </c>
      <c r="N38" s="11" t="s">
        <v>85</v>
      </c>
      <c r="O38" s="9" t="s">
        <v>31</v>
      </c>
      <c r="P38" s="9" t="s">
        <v>31</v>
      </c>
      <c r="Q38" s="16" t="s">
        <v>86</v>
      </c>
      <c r="R38" s="11" t="s">
        <v>87</v>
      </c>
      <c r="S38" s="9" t="s">
        <v>136</v>
      </c>
      <c r="T38" s="9" t="s">
        <v>66</v>
      </c>
      <c r="U38" s="65" t="s">
        <v>169</v>
      </c>
      <c r="V38" s="14"/>
      <c r="W38" s="15"/>
      <c r="X38" s="13"/>
      <c r="Z38" s="9" t="n">
        <v>14</v>
      </c>
    </row>
    <row r="39" customFormat="false" ht="35.25" hidden="false" customHeight="true" outlineLevel="0" collapsed="false">
      <c r="A39" s="9" t="s">
        <v>24</v>
      </c>
      <c r="B39" s="9" t="s">
        <v>165</v>
      </c>
      <c r="C39" s="10" t="n">
        <v>46201</v>
      </c>
      <c r="D39" s="40"/>
      <c r="E39" s="41" t="s">
        <v>189</v>
      </c>
      <c r="F39" s="9" t="s">
        <v>190</v>
      </c>
      <c r="G39" s="17" t="n">
        <v>46167</v>
      </c>
      <c r="H39" s="9" t="n">
        <v>76</v>
      </c>
      <c r="I39" s="9"/>
      <c r="J39" s="9" t="s">
        <v>29</v>
      </c>
      <c r="K39" s="9" t="n">
        <f aca="false">H39*2</f>
        <v>152</v>
      </c>
      <c r="L39" s="9" t="n">
        <f aca="false">H39*28</f>
        <v>2128</v>
      </c>
      <c r="M39" s="41" t="s">
        <v>189</v>
      </c>
      <c r="N39" s="11" t="s">
        <v>191</v>
      </c>
      <c r="O39" s="9" t="s">
        <v>31</v>
      </c>
      <c r="P39" s="9" t="s">
        <v>31</v>
      </c>
      <c r="Q39" s="16" t="s">
        <v>181</v>
      </c>
      <c r="R39" s="11" t="s">
        <v>64</v>
      </c>
      <c r="S39" s="9" t="s">
        <v>192</v>
      </c>
      <c r="T39" s="9" t="s">
        <v>66</v>
      </c>
      <c r="U39" s="65" t="s">
        <v>169</v>
      </c>
      <c r="V39" s="14"/>
      <c r="W39" s="15"/>
      <c r="X39" s="13"/>
      <c r="Y39" s="9"/>
      <c r="Z39" s="9" t="n">
        <v>14</v>
      </c>
    </row>
    <row r="40" customFormat="false" ht="42" hidden="false" customHeight="true" outlineLevel="0" collapsed="false">
      <c r="A40" s="9" t="s">
        <v>24</v>
      </c>
      <c r="B40" s="9" t="s">
        <v>165</v>
      </c>
      <c r="C40" s="10" t="n">
        <v>46201</v>
      </c>
      <c r="D40" s="40"/>
      <c r="E40" s="41" t="s">
        <v>189</v>
      </c>
      <c r="F40" s="9" t="s">
        <v>193</v>
      </c>
      <c r="G40" s="17" t="n">
        <v>46167</v>
      </c>
      <c r="H40" s="9" t="n">
        <v>74</v>
      </c>
      <c r="I40" s="9"/>
      <c r="J40" s="9" t="s">
        <v>29</v>
      </c>
      <c r="K40" s="9" t="n">
        <f aca="false">H40*2</f>
        <v>148</v>
      </c>
      <c r="L40" s="9" t="n">
        <f aca="false">H40*28</f>
        <v>2072</v>
      </c>
      <c r="M40" s="41" t="s">
        <v>189</v>
      </c>
      <c r="N40" s="11" t="s">
        <v>191</v>
      </c>
      <c r="O40" s="9" t="s">
        <v>31</v>
      </c>
      <c r="P40" s="9" t="s">
        <v>31</v>
      </c>
      <c r="Q40" s="16" t="s">
        <v>181</v>
      </c>
      <c r="R40" s="11" t="s">
        <v>64</v>
      </c>
      <c r="S40" s="9" t="s">
        <v>192</v>
      </c>
      <c r="T40" s="9" t="s">
        <v>66</v>
      </c>
      <c r="U40" s="65" t="s">
        <v>169</v>
      </c>
      <c r="V40" s="14"/>
      <c r="W40" s="15"/>
      <c r="X40" s="13"/>
      <c r="Y40" s="9"/>
      <c r="Z40" s="9" t="n">
        <v>14</v>
      </c>
    </row>
    <row r="41" customFormat="false" ht="42" hidden="false" customHeight="true" outlineLevel="0" collapsed="false">
      <c r="A41" s="9" t="s">
        <v>24</v>
      </c>
      <c r="B41" s="9" t="s">
        <v>165</v>
      </c>
      <c r="C41" s="10" t="n">
        <v>46201</v>
      </c>
      <c r="D41" s="9" t="s">
        <v>26</v>
      </c>
      <c r="E41" s="41" t="s">
        <v>49</v>
      </c>
      <c r="F41" s="9" t="s">
        <v>194</v>
      </c>
      <c r="G41" s="17" t="n">
        <v>46167</v>
      </c>
      <c r="H41" s="9"/>
      <c r="I41" s="9" t="n">
        <v>6</v>
      </c>
      <c r="J41" s="9" t="s">
        <v>29</v>
      </c>
      <c r="K41" s="9" t="n">
        <f aca="false">I41</f>
        <v>6</v>
      </c>
      <c r="L41" s="9" t="n">
        <f aca="false">I41*22</f>
        <v>132</v>
      </c>
      <c r="M41" s="16" t="s">
        <v>49</v>
      </c>
      <c r="N41" s="11" t="s">
        <v>195</v>
      </c>
      <c r="O41" s="9" t="s">
        <v>31</v>
      </c>
      <c r="P41" s="9" t="s">
        <v>31</v>
      </c>
      <c r="Q41" s="16" t="s">
        <v>196</v>
      </c>
      <c r="R41" s="11" t="s">
        <v>197</v>
      </c>
      <c r="S41" s="9" t="s">
        <v>198</v>
      </c>
      <c r="T41" s="9" t="s">
        <v>66</v>
      </c>
      <c r="U41" s="65" t="s">
        <v>169</v>
      </c>
      <c r="V41" s="14"/>
      <c r="W41" s="15"/>
      <c r="X41" s="13"/>
      <c r="Y41" s="9"/>
      <c r="Z41" s="9" t="n">
        <v>14</v>
      </c>
    </row>
    <row r="42" customFormat="false" ht="42" hidden="false" customHeight="true" outlineLevel="0" collapsed="false">
      <c r="A42" s="9" t="s">
        <v>24</v>
      </c>
      <c r="B42" s="9" t="s">
        <v>165</v>
      </c>
      <c r="C42" s="10" t="n">
        <v>46201</v>
      </c>
      <c r="D42" s="9" t="s">
        <v>37</v>
      </c>
      <c r="E42" s="16" t="s">
        <v>94</v>
      </c>
      <c r="F42" s="9" t="s">
        <v>199</v>
      </c>
      <c r="G42" s="17" t="n">
        <v>46167</v>
      </c>
      <c r="H42" s="9" t="n">
        <v>10</v>
      </c>
      <c r="I42" s="9"/>
      <c r="J42" s="9" t="s">
        <v>29</v>
      </c>
      <c r="K42" s="9" t="n">
        <f aca="false">H42*2</f>
        <v>20</v>
      </c>
      <c r="L42" s="9" t="n">
        <f aca="false">H42*28</f>
        <v>280</v>
      </c>
      <c r="M42" s="16" t="s">
        <v>26</v>
      </c>
      <c r="N42" s="11" t="s">
        <v>200</v>
      </c>
      <c r="O42" s="9" t="s">
        <v>31</v>
      </c>
      <c r="P42" s="9" t="s">
        <v>31</v>
      </c>
      <c r="Q42" s="16" t="s">
        <v>201</v>
      </c>
      <c r="R42" s="11" t="s">
        <v>202</v>
      </c>
      <c r="S42" s="9" t="s">
        <v>203</v>
      </c>
      <c r="T42" s="9" t="s">
        <v>66</v>
      </c>
      <c r="U42" s="65" t="s">
        <v>169</v>
      </c>
      <c r="V42" s="14"/>
      <c r="W42" s="15"/>
      <c r="X42" s="13"/>
      <c r="Y42" s="9"/>
      <c r="Z42" s="9" t="n">
        <v>14</v>
      </c>
    </row>
    <row r="43" s="71" customFormat="true" ht="45" hidden="false" customHeight="true" outlineLevel="0" collapsed="false">
      <c r="A43" s="9" t="s">
        <v>24</v>
      </c>
      <c r="B43" s="9" t="s">
        <v>165</v>
      </c>
      <c r="C43" s="10" t="n">
        <v>46201</v>
      </c>
      <c r="D43" s="9" t="s">
        <v>26</v>
      </c>
      <c r="E43" s="41" t="s">
        <v>49</v>
      </c>
      <c r="F43" s="9" t="s">
        <v>204</v>
      </c>
      <c r="G43" s="17" t="n">
        <v>46167</v>
      </c>
      <c r="H43" s="67"/>
      <c r="I43" s="21" t="n">
        <v>14</v>
      </c>
      <c r="J43" s="21" t="s">
        <v>29</v>
      </c>
      <c r="K43" s="21" t="n">
        <f aca="false">I43*1</f>
        <v>14</v>
      </c>
      <c r="L43" s="21" t="n">
        <f aca="false">28*I43</f>
        <v>392</v>
      </c>
      <c r="M43" s="16" t="s">
        <v>49</v>
      </c>
      <c r="N43" s="68" t="s">
        <v>205</v>
      </c>
      <c r="O43" s="22" t="s">
        <v>31</v>
      </c>
      <c r="P43" s="16" t="s">
        <v>108</v>
      </c>
      <c r="Q43" s="16" t="s">
        <v>86</v>
      </c>
      <c r="R43" s="16" t="s">
        <v>87</v>
      </c>
      <c r="S43" s="20" t="s">
        <v>206</v>
      </c>
      <c r="T43" s="20" t="s">
        <v>66</v>
      </c>
      <c r="U43" s="65" t="s">
        <v>169</v>
      </c>
      <c r="V43" s="69"/>
      <c r="W43" s="70"/>
      <c r="X43" s="14" t="s">
        <v>207</v>
      </c>
      <c r="Y43" s="25" t="s">
        <v>208</v>
      </c>
      <c r="Z43" s="62" t="n">
        <v>14</v>
      </c>
    </row>
    <row r="44" s="71" customFormat="true" ht="42.75" hidden="false" customHeight="true" outlineLevel="0" collapsed="false">
      <c r="A44" s="9" t="s">
        <v>24</v>
      </c>
      <c r="B44" s="9" t="s">
        <v>165</v>
      </c>
      <c r="C44" s="10" t="n">
        <v>46201</v>
      </c>
      <c r="D44" s="9" t="s">
        <v>26</v>
      </c>
      <c r="E44" s="41" t="s">
        <v>49</v>
      </c>
      <c r="F44" s="9" t="s">
        <v>209</v>
      </c>
      <c r="G44" s="17" t="n">
        <v>46167</v>
      </c>
      <c r="H44" s="67"/>
      <c r="I44" s="21" t="n">
        <v>9</v>
      </c>
      <c r="J44" s="21" t="s">
        <v>29</v>
      </c>
      <c r="K44" s="21" t="n">
        <f aca="false">I44*1</f>
        <v>9</v>
      </c>
      <c r="L44" s="21" t="n">
        <f aca="false">28*I44</f>
        <v>252</v>
      </c>
      <c r="M44" s="16" t="s">
        <v>49</v>
      </c>
      <c r="N44" s="68" t="s">
        <v>205</v>
      </c>
      <c r="O44" s="22" t="s">
        <v>31</v>
      </c>
      <c r="P44" s="16" t="s">
        <v>108</v>
      </c>
      <c r="Q44" s="16" t="s">
        <v>86</v>
      </c>
      <c r="R44" s="16" t="s">
        <v>87</v>
      </c>
      <c r="S44" s="20" t="s">
        <v>206</v>
      </c>
      <c r="T44" s="20" t="s">
        <v>66</v>
      </c>
      <c r="U44" s="65" t="s">
        <v>169</v>
      </c>
      <c r="V44" s="69"/>
      <c r="W44" s="72"/>
      <c r="X44" s="14" t="s">
        <v>210</v>
      </c>
      <c r="Y44" s="25" t="s">
        <v>208</v>
      </c>
      <c r="Z44" s="62" t="n">
        <v>14</v>
      </c>
    </row>
    <row r="45" s="71" customFormat="true" ht="42.75" hidden="false" customHeight="true" outlineLevel="0" collapsed="false">
      <c r="A45" s="9" t="s">
        <v>24</v>
      </c>
      <c r="B45" s="9" t="s">
        <v>165</v>
      </c>
      <c r="C45" s="10" t="n">
        <v>46201</v>
      </c>
      <c r="D45" s="9" t="s">
        <v>37</v>
      </c>
      <c r="E45" s="16" t="s">
        <v>94</v>
      </c>
      <c r="F45" s="9" t="s">
        <v>211</v>
      </c>
      <c r="G45" s="17" t="n">
        <v>46168</v>
      </c>
      <c r="H45" s="67"/>
      <c r="I45" s="21" t="n">
        <v>12</v>
      </c>
      <c r="J45" s="21" t="s">
        <v>29</v>
      </c>
      <c r="K45" s="21" t="n">
        <f aca="false">I45</f>
        <v>12</v>
      </c>
      <c r="L45" s="21" t="n">
        <f aca="false">I45*22</f>
        <v>264</v>
      </c>
      <c r="M45" s="16" t="s">
        <v>26</v>
      </c>
      <c r="N45" s="68" t="s">
        <v>212</v>
      </c>
      <c r="O45" s="22" t="s">
        <v>31</v>
      </c>
      <c r="P45" s="16" t="s">
        <v>108</v>
      </c>
      <c r="Q45" s="16" t="s">
        <v>145</v>
      </c>
      <c r="R45" s="16" t="s">
        <v>150</v>
      </c>
      <c r="S45" s="20" t="s">
        <v>213</v>
      </c>
      <c r="T45" s="20" t="s">
        <v>66</v>
      </c>
      <c r="U45" s="65" t="s">
        <v>169</v>
      </c>
      <c r="V45" s="69"/>
      <c r="W45" s="72"/>
      <c r="X45" s="14"/>
      <c r="Y45" s="25"/>
      <c r="Z45" s="62" t="n">
        <v>14</v>
      </c>
    </row>
    <row r="46" s="75" customFormat="true" ht="42.75" hidden="false" customHeight="true" outlineLevel="0" collapsed="false">
      <c r="A46" s="19" t="s">
        <v>24</v>
      </c>
      <c r="B46" s="19" t="s">
        <v>165</v>
      </c>
      <c r="C46" s="10" t="n">
        <v>46201</v>
      </c>
      <c r="D46" s="19" t="s">
        <v>26</v>
      </c>
      <c r="E46" s="41" t="s">
        <v>49</v>
      </c>
      <c r="F46" s="19" t="s">
        <v>214</v>
      </c>
      <c r="G46" s="17" t="n">
        <v>46168</v>
      </c>
      <c r="H46" s="21" t="n">
        <v>14</v>
      </c>
      <c r="I46" s="21"/>
      <c r="J46" s="21" t="s">
        <v>29</v>
      </c>
      <c r="K46" s="21" t="n">
        <f aca="false">H46*2</f>
        <v>28</v>
      </c>
      <c r="L46" s="21" t="n">
        <f aca="false">H46*28</f>
        <v>392</v>
      </c>
      <c r="M46" s="16" t="s">
        <v>49</v>
      </c>
      <c r="N46" s="16" t="s">
        <v>85</v>
      </c>
      <c r="O46" s="22" t="s">
        <v>31</v>
      </c>
      <c r="P46" s="16" t="s">
        <v>108</v>
      </c>
      <c r="Q46" s="16" t="s">
        <v>86</v>
      </c>
      <c r="R46" s="16" t="s">
        <v>87</v>
      </c>
      <c r="S46" s="20" t="s">
        <v>215</v>
      </c>
      <c r="T46" s="20" t="s">
        <v>66</v>
      </c>
      <c r="U46" s="65" t="s">
        <v>169</v>
      </c>
      <c r="V46" s="23"/>
      <c r="W46" s="73"/>
      <c r="X46" s="74"/>
      <c r="Y46" s="73"/>
      <c r="Z46" s="62" t="n">
        <v>14</v>
      </c>
    </row>
    <row r="47" s="75" customFormat="true" ht="42.75" hidden="false" customHeight="true" outlineLevel="0" collapsed="false">
      <c r="A47" s="19" t="s">
        <v>24</v>
      </c>
      <c r="B47" s="19" t="s">
        <v>165</v>
      </c>
      <c r="C47" s="10" t="n">
        <v>46201</v>
      </c>
      <c r="D47" s="9" t="s">
        <v>37</v>
      </c>
      <c r="E47" s="16" t="s">
        <v>94</v>
      </c>
      <c r="F47" s="76" t="s">
        <v>216</v>
      </c>
      <c r="G47" s="17" t="n">
        <v>46167</v>
      </c>
      <c r="H47" s="21"/>
      <c r="I47" s="21" t="n">
        <v>4</v>
      </c>
      <c r="J47" s="21" t="s">
        <v>29</v>
      </c>
      <c r="K47" s="21" t="n">
        <f aca="false">I47</f>
        <v>4</v>
      </c>
      <c r="L47" s="21" t="n">
        <f aca="false">I47*22</f>
        <v>88</v>
      </c>
      <c r="M47" s="16" t="s">
        <v>26</v>
      </c>
      <c r="N47" s="16" t="s">
        <v>217</v>
      </c>
      <c r="O47" s="22" t="s">
        <v>31</v>
      </c>
      <c r="P47" s="16" t="s">
        <v>108</v>
      </c>
      <c r="Q47" s="16" t="s">
        <v>32</v>
      </c>
      <c r="R47" s="16" t="s">
        <v>218</v>
      </c>
      <c r="S47" s="20" t="s">
        <v>219</v>
      </c>
      <c r="T47" s="20" t="s">
        <v>66</v>
      </c>
      <c r="U47" s="65" t="s">
        <v>169</v>
      </c>
      <c r="V47" s="23"/>
      <c r="W47" s="73"/>
      <c r="X47" s="74"/>
      <c r="Y47" s="73"/>
      <c r="Z47" s="62" t="n">
        <v>14</v>
      </c>
    </row>
    <row r="48" s="75" customFormat="true" ht="42.75" hidden="false" customHeight="true" outlineLevel="0" collapsed="false">
      <c r="A48" s="48" t="s">
        <v>220</v>
      </c>
      <c r="B48" s="48"/>
      <c r="C48" s="69"/>
      <c r="D48" s="48"/>
      <c r="E48" s="48" t="s">
        <v>49</v>
      </c>
      <c r="F48" s="77" t="s">
        <v>221</v>
      </c>
      <c r="G48" s="46" t="n">
        <v>46115</v>
      </c>
      <c r="H48" s="67"/>
      <c r="I48" s="67" t="n">
        <v>8</v>
      </c>
      <c r="J48" s="67" t="s">
        <v>29</v>
      </c>
      <c r="K48" s="67" t="n">
        <f aca="false">I48*1</f>
        <v>8</v>
      </c>
      <c r="L48" s="67" t="n">
        <f aca="false">20*I48</f>
        <v>160</v>
      </c>
      <c r="M48" s="48" t="s">
        <v>49</v>
      </c>
      <c r="N48" s="16" t="s">
        <v>222</v>
      </c>
      <c r="O48" s="78" t="s">
        <v>31</v>
      </c>
      <c r="P48" s="48" t="s">
        <v>108</v>
      </c>
      <c r="Q48" s="48" t="s">
        <v>174</v>
      </c>
      <c r="R48" s="48" t="s">
        <v>175</v>
      </c>
      <c r="S48" s="79" t="s">
        <v>223</v>
      </c>
      <c r="T48" s="79" t="s">
        <v>66</v>
      </c>
      <c r="U48" s="69"/>
      <c r="V48" s="69" t="s">
        <v>169</v>
      </c>
      <c r="W48" s="70"/>
      <c r="X48" s="70"/>
      <c r="Y48" s="73"/>
      <c r="Z48" s="20" t="n">
        <v>14</v>
      </c>
    </row>
    <row r="49" s="75" customFormat="true" ht="48" hidden="false" customHeight="true" outlineLevel="0" collapsed="false">
      <c r="A49" s="48" t="s">
        <v>220</v>
      </c>
      <c r="B49" s="48"/>
      <c r="C49" s="48"/>
      <c r="D49" s="48"/>
      <c r="E49" s="48" t="s">
        <v>49</v>
      </c>
      <c r="F49" s="77" t="s">
        <v>224</v>
      </c>
      <c r="G49" s="46" t="n">
        <v>46121</v>
      </c>
      <c r="H49" s="67"/>
      <c r="I49" s="67" t="n">
        <v>36</v>
      </c>
      <c r="J49" s="67" t="s">
        <v>29</v>
      </c>
      <c r="K49" s="67" t="n">
        <f aca="false">I49*1</f>
        <v>36</v>
      </c>
      <c r="L49" s="67" t="n">
        <f aca="false">20*I49</f>
        <v>720</v>
      </c>
      <c r="M49" s="48" t="s">
        <v>49</v>
      </c>
      <c r="N49" s="16" t="s">
        <v>225</v>
      </c>
      <c r="O49" s="78" t="s">
        <v>31</v>
      </c>
      <c r="P49" s="48" t="s">
        <v>108</v>
      </c>
      <c r="Q49" s="48" t="s">
        <v>174</v>
      </c>
      <c r="R49" s="48" t="s">
        <v>226</v>
      </c>
      <c r="S49" s="79" t="s">
        <v>223</v>
      </c>
      <c r="T49" s="79" t="s">
        <v>66</v>
      </c>
      <c r="U49" s="69"/>
      <c r="V49" s="69" t="s">
        <v>169</v>
      </c>
      <c r="W49" s="70"/>
      <c r="X49" s="70"/>
      <c r="Y49" s="48"/>
      <c r="Z49" s="20" t="n">
        <v>14</v>
      </c>
    </row>
    <row r="50" s="9" customFormat="true" ht="17.25" hidden="false" customHeight="true" outlineLevel="0" collapsed="false">
      <c r="A50" s="59" t="s">
        <v>163</v>
      </c>
      <c r="B50" s="59"/>
      <c r="C50" s="59"/>
      <c r="D50" s="59"/>
      <c r="E50" s="59" t="s">
        <v>164</v>
      </c>
      <c r="F50" s="59"/>
      <c r="G50" s="59"/>
      <c r="H50" s="59" t="n">
        <f aca="false">SUM(H32:H49)</f>
        <v>284</v>
      </c>
      <c r="I50" s="59" t="n">
        <f aca="false">SUM(I32:I49)</f>
        <v>136</v>
      </c>
      <c r="J50" s="59"/>
      <c r="K50" s="59" t="n">
        <f aca="false">SUM(K32:K49)</f>
        <v>704</v>
      </c>
      <c r="L50" s="59" t="n">
        <f aca="false">SUM(L32:L49)</f>
        <v>10889</v>
      </c>
      <c r="M50" s="59"/>
      <c r="N50" s="59"/>
      <c r="O50" s="59"/>
      <c r="P50" s="59"/>
      <c r="Q50" s="60"/>
      <c r="R50" s="59"/>
      <c r="S50" s="59"/>
      <c r="T50" s="59"/>
      <c r="U50" s="61"/>
      <c r="V50" s="60"/>
      <c r="W50" s="59"/>
      <c r="X50" s="60"/>
      <c r="Y50" s="59"/>
      <c r="Z50" s="59"/>
    </row>
  </sheetData>
  <autoFilter ref="A1:Z50"/>
  <conditionalFormatting sqref="F49">
    <cfRule type="duplicateValues" priority="2" aboveAverage="0" equalAverage="0" bottom="0" percent="0" rank="0" text="" dxfId="11"/>
    <cfRule type="duplicateValues" priority="3" aboveAverage="0" equalAverage="0" bottom="0" percent="0" rank="0" text="" dxfId="12"/>
    <cfRule type="duplicateValues" priority="4" aboveAverage="0" equalAverage="0" bottom="0" percent="0" rank="0" text="" dxfId="13"/>
    <cfRule type="duplicateValues" priority="5" aboveAverage="0" equalAverage="0" bottom="0" percent="0" rank="0" text="" dxfId="14"/>
    <cfRule type="duplicateValues" priority="6" aboveAverage="0" equalAverage="0" bottom="0" percent="0" rank="0" text="" dxfId="15"/>
    <cfRule type="duplicateValues" priority="7" aboveAverage="0" equalAverage="0" bottom="0" percent="0" rank="0" text="" dxfId="16"/>
    <cfRule type="duplicateValues" priority="8" aboveAverage="0" equalAverage="0" bottom="0" percent="0" rank="0" text="" dxfId="17"/>
    <cfRule type="duplicateValues" priority="9" aboveAverage="0" equalAverage="0" bottom="0" percent="0" rank="0" text="" dxfId="18"/>
    <cfRule type="duplicateValues" priority="10" aboveAverage="0" equalAverage="0" bottom="0" percent="0" rank="0" text="" dxfId="19"/>
    <cfRule type="duplicateValues" priority="11" aboveAverage="0" equalAverage="0" bottom="0" percent="0" rank="0" text="" dxfId="20"/>
    <cfRule type="duplicateValues" priority="12" aboveAverage="0" equalAverage="0" bottom="0" percent="0" rank="0" text="" dxfId="21"/>
    <cfRule type="duplicateValues" priority="13" aboveAverage="0" equalAverage="0" bottom="0" percent="0" rank="0" text="" dxfId="22"/>
    <cfRule type="duplicateValues" priority="14" aboveAverage="0" equalAverage="0" bottom="0" percent="0" rank="0" text="" dxfId="23"/>
  </conditionalFormatting>
  <conditionalFormatting sqref="F48">
    <cfRule type="duplicateValues" priority="15" aboveAverage="0" equalAverage="0" bottom="0" percent="0" rank="0" text="" dxfId="24"/>
    <cfRule type="duplicateValues" priority="16" aboveAverage="0" equalAverage="0" bottom="0" percent="0" rank="0" text="" dxfId="25"/>
    <cfRule type="duplicateValues" priority="17" aboveAverage="0" equalAverage="0" bottom="0" percent="0" rank="0" text="" dxfId="26"/>
    <cfRule type="duplicateValues" priority="18" aboveAverage="0" equalAverage="0" bottom="0" percent="0" rank="0" text="" dxfId="27"/>
    <cfRule type="duplicateValues" priority="19" aboveAverage="0" equalAverage="0" bottom="0" percent="0" rank="0" text="" dxfId="28"/>
    <cfRule type="duplicateValues" priority="20" aboveAverage="0" equalAverage="0" bottom="0" percent="0" rank="0" text="" dxfId="29"/>
    <cfRule type="duplicateValues" priority="21" aboveAverage="0" equalAverage="0" bottom="0" percent="0" rank="0" text="" dxfId="30"/>
    <cfRule type="duplicateValues" priority="22" aboveAverage="0" equalAverage="0" bottom="0" percent="0" rank="0" text="" dxfId="31"/>
    <cfRule type="duplicateValues" priority="23" aboveAverage="0" equalAverage="0" bottom="0" percent="0" rank="0" text="" dxfId="32"/>
    <cfRule type="duplicateValues" priority="24" aboveAverage="0" equalAverage="0" bottom="0" percent="0" rank="0" text="" dxfId="33"/>
    <cfRule type="duplicateValues" priority="25" aboveAverage="0" equalAverage="0" bottom="0" percent="0" rank="0" text="" dxfId="34"/>
    <cfRule type="duplicateValues" priority="26" aboveAverage="0" equalAverage="0" bottom="0" percent="0" rank="0" text="" dxfId="35"/>
    <cfRule type="duplicateValues" priority="27" aboveAverage="0" equalAverage="0" bottom="0" percent="0" rank="0" text="" dxfId="36"/>
    <cfRule type="duplicateValues" priority="28" aboveAverage="0" equalAverage="0" bottom="0" percent="0" rank="0" text="" dxfId="37"/>
    <cfRule type="duplicateValues" priority="29" aboveAverage="0" equalAverage="0" bottom="0" percent="0" rank="0" text="" dxfId="38"/>
    <cfRule type="duplicateValues" priority="30" aboveAverage="0" equalAverage="0" bottom="0" percent="0" rank="0" text="" dxfId="39"/>
    <cfRule type="duplicateValues" priority="31" aboveAverage="0" equalAverage="0" bottom="0" percent="0" rank="0" text="" dxfId="40"/>
    <cfRule type="duplicateValues" priority="32" aboveAverage="0" equalAverage="0" bottom="0" percent="0" rank="0" text="" dxfId="41"/>
    <cfRule type="duplicateValues" priority="33" aboveAverage="0" equalAverage="0" bottom="0" percent="0" rank="0" text="" dxfId="42"/>
    <cfRule type="duplicateValues" priority="34" aboveAverage="0" equalAverage="0" bottom="0" percent="0" rank="0" text="" dxfId="43"/>
    <cfRule type="duplicateValues" priority="35" aboveAverage="0" equalAverage="0" bottom="0" percent="0" rank="0" text="" dxfId="44"/>
    <cfRule type="duplicateValues" priority="36" aboveAverage="0" equalAverage="0" bottom="0" percent="0" rank="0" text="" dxfId="45"/>
    <cfRule type="duplicateValues" priority="37" aboveAverage="0" equalAverage="0" bottom="0" percent="0" rank="0" text="" dxfId="46"/>
    <cfRule type="duplicateValues" priority="38" aboveAverage="0" equalAverage="0" bottom="0" percent="0" rank="0" text="" dxfId="47"/>
    <cfRule type="duplicateValues" priority="39" aboveAverage="0" equalAverage="0" bottom="0" percent="0" rank="0" text="" dxfId="48"/>
    <cfRule type="duplicateValues" priority="40" aboveAverage="0" equalAverage="0" bottom="0" percent="0" rank="0" text="" dxfId="49"/>
    <cfRule type="duplicateValues" priority="41" aboveAverage="0" equalAverage="0" bottom="0" percent="0" rank="0" text="" dxfId="50"/>
    <cfRule type="duplicateValues" priority="42" aboveAverage="0" equalAverage="0" bottom="0" percent="0" rank="0" text="" dxfId="51"/>
    <cfRule type="duplicateValues" priority="43" aboveAverage="0" equalAverage="0" bottom="0" percent="0" rank="0" text="" dxfId="52"/>
    <cfRule type="duplicateValues" priority="44" aboveAverage="0" equalAverage="0" bottom="0" percent="0" rank="0" text="" dxfId="53"/>
    <cfRule type="duplicateValues" priority="45" aboveAverage="0" equalAverage="0" bottom="0" percent="0" rank="0" text="" dxfId="54"/>
    <cfRule type="duplicateValues" priority="46" aboveAverage="0" equalAverage="0" bottom="0" percent="0" rank="0" text="" dxfId="55"/>
    <cfRule type="duplicateValues" priority="47" aboveAverage="0" equalAverage="0" bottom="0" percent="0" rank="0" text="" dxfId="56"/>
    <cfRule type="duplicateValues" priority="48" aboveAverage="0" equalAverage="0" bottom="0" percent="0" rank="0" text="" dxfId="57"/>
    <cfRule type="duplicateValues" priority="49" aboveAverage="0" equalAverage="0" bottom="0" percent="0" rank="0" text="" dxfId="58"/>
    <cfRule type="duplicateValues" priority="50" aboveAverage="0" equalAverage="0" bottom="0" percent="0" rank="0" text="" dxfId="59"/>
    <cfRule type="duplicateValues" priority="51" aboveAverage="0" equalAverage="0" bottom="0" percent="0" rank="0" text="" dxfId="60"/>
    <cfRule type="duplicateValues" priority="52" aboveAverage="0" equalAverage="0" bottom="0" percent="0" rank="0" text="" dxfId="61"/>
    <cfRule type="duplicateValues" priority="53" aboveAverage="0" equalAverage="0" bottom="0" percent="0" rank="0" text="" dxfId="62"/>
    <cfRule type="duplicateValues" priority="54" aboveAverage="0" equalAverage="0" bottom="0" percent="0" rank="0" text="" dxfId="63"/>
    <cfRule type="duplicateValues" priority="55" aboveAverage="0" equalAverage="0" bottom="0" percent="0" rank="0" text="" dxfId="64"/>
    <cfRule type="duplicateValues" priority="56" aboveAverage="0" equalAverage="0" bottom="0" percent="0" rank="0" text="" dxfId="65"/>
    <cfRule type="duplicateValues" priority="57" aboveAverage="0" equalAverage="0" bottom="0" percent="0" rank="0" text="" dxfId="66"/>
    <cfRule type="duplicateValues" priority="58" aboveAverage="0" equalAverage="0" bottom="0" percent="0" rank="0" text="" dxfId="67"/>
    <cfRule type="duplicateValues" priority="59" aboveAverage="0" equalAverage="0" bottom="0" percent="0" rank="0" text="" dxfId="68"/>
    <cfRule type="duplicateValues" priority="60" aboveAverage="0" equalAverage="0" bottom="0" percent="0" rank="0" text="" dxfId="69"/>
    <cfRule type="duplicateValues" priority="61" aboveAverage="0" equalAverage="0" bottom="0" percent="0" rank="0" text="" dxfId="70"/>
    <cfRule type="duplicateValues" priority="62" aboveAverage="0" equalAverage="0" bottom="0" percent="0" rank="0" text="" dxfId="71"/>
    <cfRule type="duplicateValues" priority="63" aboveAverage="0" equalAverage="0" bottom="0" percent="0" rank="0" text="" dxfId="72"/>
    <cfRule type="duplicateValues" priority="64" aboveAverage="0" equalAverage="0" bottom="0" percent="0" rank="0" text="" dxfId="73"/>
    <cfRule type="duplicateValues" priority="65" aboveAverage="0" equalAverage="0" bottom="0" percent="0" rank="0" text="" dxfId="74"/>
    <cfRule type="duplicateValues" priority="66" aboveAverage="0" equalAverage="0" bottom="0" percent="0" rank="0" text="" dxfId="75"/>
    <cfRule type="duplicateValues" priority="67" aboveAverage="0" equalAverage="0" bottom="0" percent="0" rank="0" text="" dxfId="76"/>
    <cfRule type="duplicateValues" priority="68" aboveAverage="0" equalAverage="0" bottom="0" percent="0" rank="0" text="" dxfId="77"/>
    <cfRule type="duplicateValues" priority="69" aboveAverage="0" equalAverage="0" bottom="0" percent="0" rank="0" text="" dxfId="78"/>
  </conditionalFormatting>
  <conditionalFormatting sqref="F50">
    <cfRule type="duplicateValues" priority="70" aboveAverage="0" equalAverage="0" bottom="0" percent="0" rank="0" text="" dxfId="79"/>
    <cfRule type="duplicateValues" priority="71" aboveAverage="0" equalAverage="0" bottom="0" percent="0" rank="0" text="" dxfId="80"/>
  </conditionalFormatting>
  <conditionalFormatting sqref="F51:F1048576 F1">
    <cfRule type="duplicateValues" priority="72" aboveAverage="0" equalAverage="0" bottom="0" percent="0" rank="0" text="" dxfId="81"/>
    <cfRule type="duplicateValues" priority="73" aboveAverage="0" equalAverage="0" bottom="0" percent="0" rank="0" text="" dxfId="82"/>
    <cfRule type="duplicateValues" priority="74" aboveAverage="0" equalAverage="0" bottom="0" percent="0" rank="0" text="" dxfId="83"/>
  </conditionalFormatting>
  <conditionalFormatting sqref="F51:F228 F30 F33:F47 F2:F28">
    <cfRule type="duplicateValues" priority="75" aboveAverage="0" equalAverage="0" bottom="0" percent="0" rank="0" text="" dxfId="84"/>
  </conditionalFormatting>
  <conditionalFormatting sqref="F31:F32">
    <cfRule type="duplicateValues" priority="76" aboveAverage="0" equalAverage="0" bottom="0" percent="0" rank="0" text="" dxfId="85"/>
    <cfRule type="duplicateValues" priority="77" aboveAverage="0" equalAverage="0" bottom="0" percent="0" rank="0" text="" dxfId="8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en-US</dc:language>
  <cp:lastModifiedBy/>
  <dcterms:modified xsi:type="dcterms:W3CDTF">2026-06-03T12:31:07Z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